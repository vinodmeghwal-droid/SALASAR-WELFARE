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nod Hr\Downloads\"/>
    </mc:Choice>
  </mc:AlternateContent>
  <xr:revisionPtr revIDLastSave="0" documentId="13_ncr:1_{D5CBB9F2-7B84-419F-A112-43995E3669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shboard" sheetId="1" r:id="rId1"/>
    <sheet name="Accident Tracker" sheetId="2" r:id="rId2"/>
    <sheet name="Monthly KPI" sheetId="3" r:id="rId3"/>
    <sheet name="Instructions" sheetId="4" r:id="rId4"/>
  </sheets>
  <definedNames>
    <definedName name="_xlnm._FilterDatabase" localSheetId="1" hidden="1">'Accident Tracker'!$A$1:$AB$501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01" i="2" l="1"/>
  <c r="U501" i="2"/>
  <c r="D501" i="2"/>
  <c r="A501" i="2"/>
  <c r="AA500" i="2"/>
  <c r="U500" i="2"/>
  <c r="D500" i="2"/>
  <c r="A500" i="2"/>
  <c r="AA499" i="2"/>
  <c r="U499" i="2"/>
  <c r="D499" i="2"/>
  <c r="A499" i="2"/>
  <c r="AA498" i="2"/>
  <c r="U498" i="2"/>
  <c r="D498" i="2"/>
  <c r="A498" i="2"/>
  <c r="AA497" i="2"/>
  <c r="U497" i="2"/>
  <c r="D497" i="2"/>
  <c r="A497" i="2"/>
  <c r="AA496" i="2"/>
  <c r="U496" i="2"/>
  <c r="D496" i="2"/>
  <c r="A496" i="2"/>
  <c r="AA495" i="2"/>
  <c r="U495" i="2"/>
  <c r="D495" i="2"/>
  <c r="A495" i="2"/>
  <c r="AA494" i="2"/>
  <c r="U494" i="2"/>
  <c r="D494" i="2"/>
  <c r="A494" i="2"/>
  <c r="AA493" i="2"/>
  <c r="U493" i="2"/>
  <c r="D493" i="2"/>
  <c r="A493" i="2"/>
  <c r="AA492" i="2"/>
  <c r="U492" i="2"/>
  <c r="D492" i="2"/>
  <c r="A492" i="2"/>
  <c r="AA491" i="2"/>
  <c r="U491" i="2"/>
  <c r="D491" i="2"/>
  <c r="A491" i="2"/>
  <c r="AA490" i="2"/>
  <c r="U490" i="2"/>
  <c r="D490" i="2"/>
  <c r="A490" i="2"/>
  <c r="AA489" i="2"/>
  <c r="U489" i="2"/>
  <c r="D489" i="2"/>
  <c r="A489" i="2"/>
  <c r="AA488" i="2"/>
  <c r="U488" i="2"/>
  <c r="D488" i="2"/>
  <c r="A488" i="2"/>
  <c r="AA487" i="2"/>
  <c r="U487" i="2"/>
  <c r="D487" i="2"/>
  <c r="A487" i="2"/>
  <c r="AA486" i="2"/>
  <c r="U486" i="2"/>
  <c r="D486" i="2"/>
  <c r="A486" i="2"/>
  <c r="AA485" i="2"/>
  <c r="U485" i="2"/>
  <c r="D485" i="2"/>
  <c r="A485" i="2"/>
  <c r="AA484" i="2"/>
  <c r="U484" i="2"/>
  <c r="D484" i="2"/>
  <c r="A484" i="2"/>
  <c r="AA483" i="2"/>
  <c r="U483" i="2"/>
  <c r="D483" i="2"/>
  <c r="A483" i="2"/>
  <c r="AA482" i="2"/>
  <c r="U482" i="2"/>
  <c r="D482" i="2"/>
  <c r="A482" i="2"/>
  <c r="AA481" i="2"/>
  <c r="U481" i="2"/>
  <c r="D481" i="2"/>
  <c r="A481" i="2"/>
  <c r="AA480" i="2"/>
  <c r="U480" i="2"/>
  <c r="D480" i="2"/>
  <c r="AA479" i="2"/>
  <c r="U479" i="2"/>
  <c r="D479" i="2"/>
  <c r="A479" i="2"/>
  <c r="AA478" i="2"/>
  <c r="U478" i="2"/>
  <c r="D478" i="2"/>
  <c r="A478" i="2"/>
  <c r="AA477" i="2"/>
  <c r="U477" i="2"/>
  <c r="D477" i="2"/>
  <c r="A477" i="2"/>
  <c r="AA476" i="2"/>
  <c r="U476" i="2"/>
  <c r="D476" i="2"/>
  <c r="A476" i="2"/>
  <c r="AA475" i="2"/>
  <c r="U475" i="2"/>
  <c r="D475" i="2"/>
  <c r="A475" i="2"/>
  <c r="AA474" i="2"/>
  <c r="U474" i="2"/>
  <c r="D474" i="2"/>
  <c r="A474" i="2"/>
  <c r="AA473" i="2"/>
  <c r="U473" i="2"/>
  <c r="D473" i="2"/>
  <c r="A473" i="2"/>
  <c r="AA472" i="2"/>
  <c r="U472" i="2"/>
  <c r="D472" i="2"/>
  <c r="A472" i="2"/>
  <c r="AA471" i="2"/>
  <c r="U471" i="2"/>
  <c r="D471" i="2"/>
  <c r="A471" i="2"/>
  <c r="AA470" i="2"/>
  <c r="U470" i="2"/>
  <c r="D470" i="2"/>
  <c r="A470" i="2"/>
  <c r="AA469" i="2"/>
  <c r="U469" i="2"/>
  <c r="D469" i="2"/>
  <c r="A469" i="2"/>
  <c r="AA468" i="2"/>
  <c r="U468" i="2"/>
  <c r="D468" i="2"/>
  <c r="A468" i="2"/>
  <c r="AA467" i="2"/>
  <c r="U467" i="2"/>
  <c r="D467" i="2"/>
  <c r="A467" i="2"/>
  <c r="AA466" i="2"/>
  <c r="U466" i="2"/>
  <c r="D466" i="2"/>
  <c r="A466" i="2"/>
  <c r="AA465" i="2"/>
  <c r="U465" i="2"/>
  <c r="D465" i="2"/>
  <c r="A465" i="2"/>
  <c r="AA464" i="2"/>
  <c r="U464" i="2"/>
  <c r="D464" i="2"/>
  <c r="A464" i="2"/>
  <c r="AA463" i="2"/>
  <c r="U463" i="2"/>
  <c r="D463" i="2"/>
  <c r="A463" i="2"/>
  <c r="AA462" i="2"/>
  <c r="U462" i="2"/>
  <c r="D462" i="2"/>
  <c r="A462" i="2"/>
  <c r="AA461" i="2"/>
  <c r="U461" i="2"/>
  <c r="D461" i="2"/>
  <c r="A461" i="2"/>
  <c r="AA460" i="2"/>
  <c r="U460" i="2"/>
  <c r="D460" i="2"/>
  <c r="A460" i="2"/>
  <c r="AA459" i="2"/>
  <c r="U459" i="2"/>
  <c r="D459" i="2"/>
  <c r="A459" i="2"/>
  <c r="AA458" i="2"/>
  <c r="U458" i="2"/>
  <c r="D458" i="2"/>
  <c r="A458" i="2"/>
  <c r="AA457" i="2"/>
  <c r="U457" i="2"/>
  <c r="D457" i="2"/>
  <c r="A457" i="2"/>
  <c r="AA456" i="2"/>
  <c r="U456" i="2"/>
  <c r="D456" i="2"/>
  <c r="A456" i="2"/>
  <c r="AA455" i="2"/>
  <c r="U455" i="2"/>
  <c r="D455" i="2"/>
  <c r="A455" i="2"/>
  <c r="AA454" i="2"/>
  <c r="U454" i="2"/>
  <c r="D454" i="2"/>
  <c r="A454" i="2"/>
  <c r="AA453" i="2"/>
  <c r="U453" i="2"/>
  <c r="D453" i="2"/>
  <c r="A453" i="2"/>
  <c r="AA452" i="2"/>
  <c r="U452" i="2"/>
  <c r="D452" i="2"/>
  <c r="A452" i="2"/>
  <c r="AA451" i="2"/>
  <c r="U451" i="2"/>
  <c r="D451" i="2"/>
  <c r="A451" i="2"/>
  <c r="AA450" i="2"/>
  <c r="U450" i="2"/>
  <c r="D450" i="2"/>
  <c r="A450" i="2"/>
  <c r="AA449" i="2"/>
  <c r="U449" i="2"/>
  <c r="D449" i="2"/>
  <c r="A449" i="2"/>
  <c r="AA448" i="2"/>
  <c r="U448" i="2"/>
  <c r="D448" i="2"/>
  <c r="A448" i="2"/>
  <c r="AA447" i="2"/>
  <c r="U447" i="2"/>
  <c r="D447" i="2"/>
  <c r="A447" i="2"/>
  <c r="AA446" i="2"/>
  <c r="U446" i="2"/>
  <c r="D446" i="2"/>
  <c r="A446" i="2"/>
  <c r="AA445" i="2"/>
  <c r="U445" i="2"/>
  <c r="D445" i="2"/>
  <c r="A445" i="2"/>
  <c r="AA444" i="2"/>
  <c r="U444" i="2"/>
  <c r="D444" i="2"/>
  <c r="A444" i="2"/>
  <c r="AA443" i="2"/>
  <c r="U443" i="2"/>
  <c r="D443" i="2"/>
  <c r="A443" i="2"/>
  <c r="AA442" i="2"/>
  <c r="U442" i="2"/>
  <c r="D442" i="2"/>
  <c r="A442" i="2"/>
  <c r="AA441" i="2"/>
  <c r="U441" i="2"/>
  <c r="D441" i="2"/>
  <c r="A441" i="2"/>
  <c r="AA440" i="2"/>
  <c r="U440" i="2"/>
  <c r="D440" i="2"/>
  <c r="A440" i="2"/>
  <c r="AA439" i="2"/>
  <c r="U439" i="2"/>
  <c r="D439" i="2"/>
  <c r="A439" i="2"/>
  <c r="AA438" i="2"/>
  <c r="U438" i="2"/>
  <c r="D438" i="2"/>
  <c r="A438" i="2"/>
  <c r="AA437" i="2"/>
  <c r="U437" i="2"/>
  <c r="D437" i="2"/>
  <c r="A437" i="2"/>
  <c r="AA436" i="2"/>
  <c r="U436" i="2"/>
  <c r="D436" i="2"/>
  <c r="A436" i="2"/>
  <c r="AA435" i="2"/>
  <c r="U435" i="2"/>
  <c r="D435" i="2"/>
  <c r="A435" i="2"/>
  <c r="AA434" i="2"/>
  <c r="U434" i="2"/>
  <c r="D434" i="2"/>
  <c r="A434" i="2"/>
  <c r="AA433" i="2"/>
  <c r="U433" i="2"/>
  <c r="D433" i="2"/>
  <c r="A433" i="2"/>
  <c r="AA432" i="2"/>
  <c r="U432" i="2"/>
  <c r="D432" i="2"/>
  <c r="A432" i="2"/>
  <c r="AA431" i="2"/>
  <c r="U431" i="2"/>
  <c r="D431" i="2"/>
  <c r="A431" i="2"/>
  <c r="AA430" i="2"/>
  <c r="U430" i="2"/>
  <c r="D430" i="2"/>
  <c r="A430" i="2"/>
  <c r="AA429" i="2"/>
  <c r="U429" i="2"/>
  <c r="D429" i="2"/>
  <c r="A429" i="2"/>
  <c r="AA428" i="2"/>
  <c r="U428" i="2"/>
  <c r="D428" i="2"/>
  <c r="A428" i="2"/>
  <c r="AA427" i="2"/>
  <c r="U427" i="2"/>
  <c r="D427" i="2"/>
  <c r="A427" i="2"/>
  <c r="AA426" i="2"/>
  <c r="U426" i="2"/>
  <c r="D426" i="2"/>
  <c r="A426" i="2"/>
  <c r="AA425" i="2"/>
  <c r="U425" i="2"/>
  <c r="D425" i="2"/>
  <c r="A425" i="2"/>
  <c r="AA424" i="2"/>
  <c r="U424" i="2"/>
  <c r="D424" i="2"/>
  <c r="A424" i="2"/>
  <c r="AA423" i="2"/>
  <c r="U423" i="2"/>
  <c r="D423" i="2"/>
  <c r="A423" i="2"/>
  <c r="AA422" i="2"/>
  <c r="U422" i="2"/>
  <c r="D422" i="2"/>
  <c r="A422" i="2"/>
  <c r="AA421" i="2"/>
  <c r="U421" i="2"/>
  <c r="D421" i="2"/>
  <c r="A421" i="2"/>
  <c r="AA420" i="2"/>
  <c r="U420" i="2"/>
  <c r="D420" i="2"/>
  <c r="A420" i="2"/>
  <c r="AA419" i="2"/>
  <c r="U419" i="2"/>
  <c r="D419" i="2"/>
  <c r="A419" i="2"/>
  <c r="AA418" i="2"/>
  <c r="U418" i="2"/>
  <c r="D418" i="2"/>
  <c r="A418" i="2"/>
  <c r="AA417" i="2"/>
  <c r="U417" i="2"/>
  <c r="D417" i="2"/>
  <c r="A417" i="2"/>
  <c r="AA416" i="2"/>
  <c r="U416" i="2"/>
  <c r="D416" i="2"/>
  <c r="A416" i="2"/>
  <c r="AA415" i="2"/>
  <c r="U415" i="2"/>
  <c r="D415" i="2"/>
  <c r="A415" i="2"/>
  <c r="AA414" i="2"/>
  <c r="U414" i="2"/>
  <c r="D414" i="2"/>
  <c r="A414" i="2"/>
  <c r="AA413" i="2"/>
  <c r="U413" i="2"/>
  <c r="D413" i="2"/>
  <c r="A413" i="2"/>
  <c r="AA412" i="2"/>
  <c r="U412" i="2"/>
  <c r="D412" i="2"/>
  <c r="A412" i="2"/>
  <c r="AA411" i="2"/>
  <c r="U411" i="2"/>
  <c r="D411" i="2"/>
  <c r="A411" i="2"/>
  <c r="AA410" i="2"/>
  <c r="U410" i="2"/>
  <c r="D410" i="2"/>
  <c r="A410" i="2"/>
  <c r="AA409" i="2"/>
  <c r="U409" i="2"/>
  <c r="D409" i="2"/>
  <c r="A409" i="2"/>
  <c r="AA408" i="2"/>
  <c r="U408" i="2"/>
  <c r="D408" i="2"/>
  <c r="A408" i="2"/>
  <c r="AA407" i="2"/>
  <c r="U407" i="2"/>
  <c r="D407" i="2"/>
  <c r="A407" i="2"/>
  <c r="AA406" i="2"/>
  <c r="U406" i="2"/>
  <c r="D406" i="2"/>
  <c r="A406" i="2"/>
  <c r="AA405" i="2"/>
  <c r="U405" i="2"/>
  <c r="D405" i="2"/>
  <c r="A405" i="2"/>
  <c r="AA404" i="2"/>
  <c r="U404" i="2"/>
  <c r="D404" i="2"/>
  <c r="A404" i="2"/>
  <c r="AA403" i="2"/>
  <c r="U403" i="2"/>
  <c r="D403" i="2"/>
  <c r="A403" i="2"/>
  <c r="AA402" i="2"/>
  <c r="U402" i="2"/>
  <c r="D402" i="2"/>
  <c r="A402" i="2"/>
  <c r="AA401" i="2"/>
  <c r="U401" i="2"/>
  <c r="D401" i="2"/>
  <c r="A401" i="2"/>
  <c r="AA400" i="2"/>
  <c r="U400" i="2"/>
  <c r="D400" i="2"/>
  <c r="A400" i="2"/>
  <c r="AA399" i="2"/>
  <c r="U399" i="2"/>
  <c r="D399" i="2"/>
  <c r="A399" i="2"/>
  <c r="AA398" i="2"/>
  <c r="U398" i="2"/>
  <c r="D398" i="2"/>
  <c r="A398" i="2"/>
  <c r="AA397" i="2"/>
  <c r="U397" i="2"/>
  <c r="D397" i="2"/>
  <c r="A397" i="2"/>
  <c r="AA396" i="2"/>
  <c r="U396" i="2"/>
  <c r="D396" i="2"/>
  <c r="A396" i="2"/>
  <c r="AA395" i="2"/>
  <c r="U395" i="2"/>
  <c r="D395" i="2"/>
  <c r="A395" i="2"/>
  <c r="AA394" i="2"/>
  <c r="U394" i="2"/>
  <c r="D394" i="2"/>
  <c r="A394" i="2"/>
  <c r="AA393" i="2"/>
  <c r="U393" i="2"/>
  <c r="D393" i="2"/>
  <c r="A393" i="2"/>
  <c r="AA392" i="2"/>
  <c r="U392" i="2"/>
  <c r="D392" i="2"/>
  <c r="A392" i="2"/>
  <c r="AA391" i="2"/>
  <c r="U391" i="2"/>
  <c r="D391" i="2"/>
  <c r="A391" i="2"/>
  <c r="AA390" i="2"/>
  <c r="U390" i="2"/>
  <c r="D390" i="2"/>
  <c r="A390" i="2"/>
  <c r="AA389" i="2"/>
  <c r="U389" i="2"/>
  <c r="D389" i="2"/>
  <c r="A389" i="2"/>
  <c r="AA388" i="2"/>
  <c r="U388" i="2"/>
  <c r="D388" i="2"/>
  <c r="A388" i="2"/>
  <c r="AA387" i="2"/>
  <c r="U387" i="2"/>
  <c r="D387" i="2"/>
  <c r="A387" i="2"/>
  <c r="AA386" i="2"/>
  <c r="U386" i="2"/>
  <c r="D386" i="2"/>
  <c r="A386" i="2"/>
  <c r="AA385" i="2"/>
  <c r="U385" i="2"/>
  <c r="D385" i="2"/>
  <c r="A385" i="2"/>
  <c r="AA384" i="2"/>
  <c r="U384" i="2"/>
  <c r="D384" i="2"/>
  <c r="A384" i="2"/>
  <c r="AA383" i="2"/>
  <c r="U383" i="2"/>
  <c r="D383" i="2"/>
  <c r="A383" i="2"/>
  <c r="AA382" i="2"/>
  <c r="U382" i="2"/>
  <c r="D382" i="2"/>
  <c r="A382" i="2"/>
  <c r="AA381" i="2"/>
  <c r="U381" i="2"/>
  <c r="D381" i="2"/>
  <c r="A381" i="2"/>
  <c r="AA380" i="2"/>
  <c r="U380" i="2"/>
  <c r="D380" i="2"/>
  <c r="A380" i="2"/>
  <c r="AA379" i="2"/>
  <c r="U379" i="2"/>
  <c r="D379" i="2"/>
  <c r="A379" i="2"/>
  <c r="AA378" i="2"/>
  <c r="U378" i="2"/>
  <c r="D378" i="2"/>
  <c r="A378" i="2"/>
  <c r="AA377" i="2"/>
  <c r="U377" i="2"/>
  <c r="D377" i="2"/>
  <c r="A377" i="2"/>
  <c r="AA376" i="2"/>
  <c r="U376" i="2"/>
  <c r="D376" i="2"/>
  <c r="A376" i="2"/>
  <c r="AA375" i="2"/>
  <c r="U375" i="2"/>
  <c r="D375" i="2"/>
  <c r="A375" i="2"/>
  <c r="AA374" i="2"/>
  <c r="U374" i="2"/>
  <c r="D374" i="2"/>
  <c r="A374" i="2"/>
  <c r="AA373" i="2"/>
  <c r="U373" i="2"/>
  <c r="D373" i="2"/>
  <c r="A373" i="2"/>
  <c r="AA372" i="2"/>
  <c r="U372" i="2"/>
  <c r="D372" i="2"/>
  <c r="A372" i="2"/>
  <c r="AA371" i="2"/>
  <c r="U371" i="2"/>
  <c r="D371" i="2"/>
  <c r="A371" i="2"/>
  <c r="AA370" i="2"/>
  <c r="U370" i="2"/>
  <c r="D370" i="2"/>
  <c r="A370" i="2"/>
  <c r="AA369" i="2"/>
  <c r="U369" i="2"/>
  <c r="D369" i="2"/>
  <c r="A369" i="2"/>
  <c r="AA368" i="2"/>
  <c r="U368" i="2"/>
  <c r="D368" i="2"/>
  <c r="A368" i="2"/>
  <c r="AA367" i="2"/>
  <c r="U367" i="2"/>
  <c r="D367" i="2"/>
  <c r="A367" i="2"/>
  <c r="AA366" i="2"/>
  <c r="U366" i="2"/>
  <c r="D366" i="2"/>
  <c r="A366" i="2"/>
  <c r="AA365" i="2"/>
  <c r="U365" i="2"/>
  <c r="D365" i="2"/>
  <c r="A365" i="2"/>
  <c r="AA364" i="2"/>
  <c r="U364" i="2"/>
  <c r="D364" i="2"/>
  <c r="A364" i="2"/>
  <c r="AA363" i="2"/>
  <c r="U363" i="2"/>
  <c r="D363" i="2"/>
  <c r="A363" i="2"/>
  <c r="AA362" i="2"/>
  <c r="U362" i="2"/>
  <c r="D362" i="2"/>
  <c r="A362" i="2"/>
  <c r="AA361" i="2"/>
  <c r="U361" i="2"/>
  <c r="D361" i="2"/>
  <c r="A361" i="2"/>
  <c r="AA360" i="2"/>
  <c r="U360" i="2"/>
  <c r="D360" i="2"/>
  <c r="A360" i="2"/>
  <c r="AA359" i="2"/>
  <c r="U359" i="2"/>
  <c r="D359" i="2"/>
  <c r="A359" i="2"/>
  <c r="AA358" i="2"/>
  <c r="U358" i="2"/>
  <c r="D358" i="2"/>
  <c r="A358" i="2"/>
  <c r="AA357" i="2"/>
  <c r="U357" i="2"/>
  <c r="D357" i="2"/>
  <c r="A357" i="2"/>
  <c r="AA356" i="2"/>
  <c r="U356" i="2"/>
  <c r="D356" i="2"/>
  <c r="A356" i="2"/>
  <c r="AA355" i="2"/>
  <c r="U355" i="2"/>
  <c r="D355" i="2"/>
  <c r="A355" i="2"/>
  <c r="AA354" i="2"/>
  <c r="U354" i="2"/>
  <c r="D354" i="2"/>
  <c r="A354" i="2"/>
  <c r="AA353" i="2"/>
  <c r="U353" i="2"/>
  <c r="D353" i="2"/>
  <c r="A353" i="2"/>
  <c r="AA352" i="2"/>
  <c r="U352" i="2"/>
  <c r="D352" i="2"/>
  <c r="A352" i="2"/>
  <c r="AA351" i="2"/>
  <c r="U351" i="2"/>
  <c r="D351" i="2"/>
  <c r="A351" i="2"/>
  <c r="AA350" i="2"/>
  <c r="U350" i="2"/>
  <c r="D350" i="2"/>
  <c r="A350" i="2"/>
  <c r="AA349" i="2"/>
  <c r="U349" i="2"/>
  <c r="D349" i="2"/>
  <c r="A349" i="2"/>
  <c r="AA348" i="2"/>
  <c r="U348" i="2"/>
  <c r="D348" i="2"/>
  <c r="A348" i="2"/>
  <c r="AA347" i="2"/>
  <c r="U347" i="2"/>
  <c r="D347" i="2"/>
  <c r="A347" i="2"/>
  <c r="AA346" i="2"/>
  <c r="U346" i="2"/>
  <c r="D346" i="2"/>
  <c r="A346" i="2"/>
  <c r="AA345" i="2"/>
  <c r="U345" i="2"/>
  <c r="D345" i="2"/>
  <c r="A345" i="2"/>
  <c r="AA344" i="2"/>
  <c r="U344" i="2"/>
  <c r="D344" i="2"/>
  <c r="A344" i="2"/>
  <c r="AA343" i="2"/>
  <c r="U343" i="2"/>
  <c r="D343" i="2"/>
  <c r="A343" i="2"/>
  <c r="AA342" i="2"/>
  <c r="U342" i="2"/>
  <c r="D342" i="2"/>
  <c r="A342" i="2"/>
  <c r="AA341" i="2"/>
  <c r="U341" i="2"/>
  <c r="D341" i="2"/>
  <c r="A341" i="2"/>
  <c r="AA340" i="2"/>
  <c r="U340" i="2"/>
  <c r="D340" i="2"/>
  <c r="A340" i="2"/>
  <c r="AA339" i="2"/>
  <c r="U339" i="2"/>
  <c r="D339" i="2"/>
  <c r="A339" i="2"/>
  <c r="AA338" i="2"/>
  <c r="U338" i="2"/>
  <c r="D338" i="2"/>
  <c r="A338" i="2"/>
  <c r="AA337" i="2"/>
  <c r="U337" i="2"/>
  <c r="D337" i="2"/>
  <c r="A337" i="2"/>
  <c r="AA336" i="2"/>
  <c r="U336" i="2"/>
  <c r="D336" i="2"/>
  <c r="A336" i="2"/>
  <c r="AA335" i="2"/>
  <c r="U335" i="2"/>
  <c r="D335" i="2"/>
  <c r="A335" i="2"/>
  <c r="AA334" i="2"/>
  <c r="U334" i="2"/>
  <c r="D334" i="2"/>
  <c r="A334" i="2"/>
  <c r="AA333" i="2"/>
  <c r="U333" i="2"/>
  <c r="D333" i="2"/>
  <c r="A333" i="2"/>
  <c r="AA332" i="2"/>
  <c r="U332" i="2"/>
  <c r="D332" i="2"/>
  <c r="A332" i="2"/>
  <c r="AA331" i="2"/>
  <c r="U331" i="2"/>
  <c r="D331" i="2"/>
  <c r="A331" i="2"/>
  <c r="AA330" i="2"/>
  <c r="U330" i="2"/>
  <c r="D330" i="2"/>
  <c r="A330" i="2"/>
  <c r="AA329" i="2"/>
  <c r="U329" i="2"/>
  <c r="D329" i="2"/>
  <c r="A329" i="2"/>
  <c r="AA328" i="2"/>
  <c r="U328" i="2"/>
  <c r="D328" i="2"/>
  <c r="A328" i="2"/>
  <c r="AA327" i="2"/>
  <c r="U327" i="2"/>
  <c r="D327" i="2"/>
  <c r="A327" i="2"/>
  <c r="AA326" i="2"/>
  <c r="U326" i="2"/>
  <c r="D326" i="2"/>
  <c r="A326" i="2"/>
  <c r="AA325" i="2"/>
  <c r="U325" i="2"/>
  <c r="D325" i="2"/>
  <c r="A325" i="2"/>
  <c r="AA324" i="2"/>
  <c r="U324" i="2"/>
  <c r="D324" i="2"/>
  <c r="A324" i="2"/>
  <c r="AA323" i="2"/>
  <c r="U323" i="2"/>
  <c r="D323" i="2"/>
  <c r="A323" i="2"/>
  <c r="AA322" i="2"/>
  <c r="U322" i="2"/>
  <c r="D322" i="2"/>
  <c r="A322" i="2"/>
  <c r="AA321" i="2"/>
  <c r="U321" i="2"/>
  <c r="D321" i="2"/>
  <c r="A321" i="2"/>
  <c r="AA320" i="2"/>
  <c r="U320" i="2"/>
  <c r="D320" i="2"/>
  <c r="A320" i="2"/>
  <c r="AA319" i="2"/>
  <c r="U319" i="2"/>
  <c r="D319" i="2"/>
  <c r="A319" i="2"/>
  <c r="AA318" i="2"/>
  <c r="U318" i="2"/>
  <c r="D318" i="2"/>
  <c r="A318" i="2"/>
  <c r="AA317" i="2"/>
  <c r="U317" i="2"/>
  <c r="D317" i="2"/>
  <c r="A317" i="2"/>
  <c r="AA316" i="2"/>
  <c r="U316" i="2"/>
  <c r="D316" i="2"/>
  <c r="A316" i="2"/>
  <c r="AA315" i="2"/>
  <c r="U315" i="2"/>
  <c r="D315" i="2"/>
  <c r="A315" i="2"/>
  <c r="AA314" i="2"/>
  <c r="U314" i="2"/>
  <c r="D314" i="2"/>
  <c r="A314" i="2"/>
  <c r="AA313" i="2"/>
  <c r="U313" i="2"/>
  <c r="D313" i="2"/>
  <c r="A313" i="2"/>
  <c r="AA312" i="2"/>
  <c r="U312" i="2"/>
  <c r="D312" i="2"/>
  <c r="A312" i="2"/>
  <c r="AA311" i="2"/>
  <c r="U311" i="2"/>
  <c r="D311" i="2"/>
  <c r="A311" i="2"/>
  <c r="AA310" i="2"/>
  <c r="U310" i="2"/>
  <c r="D310" i="2"/>
  <c r="A310" i="2"/>
  <c r="AA309" i="2"/>
  <c r="U309" i="2"/>
  <c r="D309" i="2"/>
  <c r="A309" i="2"/>
  <c r="AA308" i="2"/>
  <c r="U308" i="2"/>
  <c r="D308" i="2"/>
  <c r="A308" i="2"/>
  <c r="AA307" i="2"/>
  <c r="U307" i="2"/>
  <c r="D307" i="2"/>
  <c r="A307" i="2"/>
  <c r="AA306" i="2"/>
  <c r="U306" i="2"/>
  <c r="D306" i="2"/>
  <c r="A306" i="2"/>
  <c r="AA305" i="2"/>
  <c r="U305" i="2"/>
  <c r="D305" i="2"/>
  <c r="A305" i="2"/>
  <c r="AA304" i="2"/>
  <c r="U304" i="2"/>
  <c r="D304" i="2"/>
  <c r="A304" i="2"/>
  <c r="AA303" i="2"/>
  <c r="U303" i="2"/>
  <c r="D303" i="2"/>
  <c r="A303" i="2"/>
  <c r="AA302" i="2"/>
  <c r="U302" i="2"/>
  <c r="D302" i="2"/>
  <c r="A302" i="2"/>
  <c r="AA301" i="2"/>
  <c r="U301" i="2"/>
  <c r="D301" i="2"/>
  <c r="A301" i="2"/>
  <c r="AA300" i="2"/>
  <c r="U300" i="2"/>
  <c r="D300" i="2"/>
  <c r="A300" i="2"/>
  <c r="AA299" i="2"/>
  <c r="U299" i="2"/>
  <c r="D299" i="2"/>
  <c r="A299" i="2"/>
  <c r="AA298" i="2"/>
  <c r="U298" i="2"/>
  <c r="D298" i="2"/>
  <c r="A298" i="2"/>
  <c r="AA297" i="2"/>
  <c r="U297" i="2"/>
  <c r="D297" i="2"/>
  <c r="A297" i="2"/>
  <c r="AA296" i="2"/>
  <c r="U296" i="2"/>
  <c r="D296" i="2"/>
  <c r="A296" i="2"/>
  <c r="AA295" i="2"/>
  <c r="U295" i="2"/>
  <c r="D295" i="2"/>
  <c r="A295" i="2"/>
  <c r="AA294" i="2"/>
  <c r="U294" i="2"/>
  <c r="D294" i="2"/>
  <c r="A294" i="2"/>
  <c r="AA293" i="2"/>
  <c r="U293" i="2"/>
  <c r="D293" i="2"/>
  <c r="A293" i="2"/>
  <c r="AA292" i="2"/>
  <c r="U292" i="2"/>
  <c r="D292" i="2"/>
  <c r="A292" i="2"/>
  <c r="AA291" i="2"/>
  <c r="U291" i="2"/>
  <c r="D291" i="2"/>
  <c r="A291" i="2"/>
  <c r="AA290" i="2"/>
  <c r="U290" i="2"/>
  <c r="D290" i="2"/>
  <c r="A290" i="2"/>
  <c r="AA289" i="2"/>
  <c r="U289" i="2"/>
  <c r="D289" i="2"/>
  <c r="A289" i="2"/>
  <c r="AA288" i="2"/>
  <c r="U288" i="2"/>
  <c r="D288" i="2"/>
  <c r="A288" i="2"/>
  <c r="AA287" i="2"/>
  <c r="U287" i="2"/>
  <c r="D287" i="2"/>
  <c r="A287" i="2"/>
  <c r="AA286" i="2"/>
  <c r="U286" i="2"/>
  <c r="D286" i="2"/>
  <c r="A286" i="2"/>
  <c r="AA285" i="2"/>
  <c r="U285" i="2"/>
  <c r="D285" i="2"/>
  <c r="A285" i="2"/>
  <c r="AA284" i="2"/>
  <c r="U284" i="2"/>
  <c r="D284" i="2"/>
  <c r="A284" i="2"/>
  <c r="AA283" i="2"/>
  <c r="U283" i="2"/>
  <c r="D283" i="2"/>
  <c r="A283" i="2"/>
  <c r="AA282" i="2"/>
  <c r="U282" i="2"/>
  <c r="D282" i="2"/>
  <c r="A282" i="2"/>
  <c r="AA281" i="2"/>
  <c r="U281" i="2"/>
  <c r="D281" i="2"/>
  <c r="A281" i="2"/>
  <c r="AA280" i="2"/>
  <c r="U280" i="2"/>
  <c r="D280" i="2"/>
  <c r="A280" i="2"/>
  <c r="AA279" i="2"/>
  <c r="U279" i="2"/>
  <c r="D279" i="2"/>
  <c r="A279" i="2"/>
  <c r="AA278" i="2"/>
  <c r="U278" i="2"/>
  <c r="D278" i="2"/>
  <c r="A278" i="2"/>
  <c r="AA277" i="2"/>
  <c r="U277" i="2"/>
  <c r="D277" i="2"/>
  <c r="A277" i="2"/>
  <c r="AA276" i="2"/>
  <c r="U276" i="2"/>
  <c r="D276" i="2"/>
  <c r="A276" i="2"/>
  <c r="AA275" i="2"/>
  <c r="U275" i="2"/>
  <c r="D275" i="2"/>
  <c r="A275" i="2"/>
  <c r="AA274" i="2"/>
  <c r="U274" i="2"/>
  <c r="D274" i="2"/>
  <c r="A274" i="2"/>
  <c r="AA273" i="2"/>
  <c r="U273" i="2"/>
  <c r="D273" i="2"/>
  <c r="A273" i="2"/>
  <c r="AA272" i="2"/>
  <c r="U272" i="2"/>
  <c r="D272" i="2"/>
  <c r="A272" i="2"/>
  <c r="AA271" i="2"/>
  <c r="U271" i="2"/>
  <c r="D271" i="2"/>
  <c r="A271" i="2"/>
  <c r="AA270" i="2"/>
  <c r="U270" i="2"/>
  <c r="D270" i="2"/>
  <c r="A270" i="2"/>
  <c r="AA269" i="2"/>
  <c r="U269" i="2"/>
  <c r="D269" i="2"/>
  <c r="A269" i="2"/>
  <c r="AA268" i="2"/>
  <c r="U268" i="2"/>
  <c r="D268" i="2"/>
  <c r="A268" i="2"/>
  <c r="AA267" i="2"/>
  <c r="U267" i="2"/>
  <c r="D267" i="2"/>
  <c r="A267" i="2"/>
  <c r="AA266" i="2"/>
  <c r="U266" i="2"/>
  <c r="D266" i="2"/>
  <c r="A266" i="2"/>
  <c r="AA265" i="2"/>
  <c r="U265" i="2"/>
  <c r="D265" i="2"/>
  <c r="A265" i="2"/>
  <c r="AA264" i="2"/>
  <c r="U264" i="2"/>
  <c r="D264" i="2"/>
  <c r="A264" i="2"/>
  <c r="AA263" i="2"/>
  <c r="U263" i="2"/>
  <c r="D263" i="2"/>
  <c r="A263" i="2"/>
  <c r="AA262" i="2"/>
  <c r="U262" i="2"/>
  <c r="D262" i="2"/>
  <c r="A262" i="2"/>
  <c r="AA261" i="2"/>
  <c r="U261" i="2"/>
  <c r="D261" i="2"/>
  <c r="A261" i="2"/>
  <c r="AA260" i="2"/>
  <c r="U260" i="2"/>
  <c r="D260" i="2"/>
  <c r="A260" i="2"/>
  <c r="AA259" i="2"/>
  <c r="U259" i="2"/>
  <c r="D259" i="2"/>
  <c r="A259" i="2"/>
  <c r="AA258" i="2"/>
  <c r="U258" i="2"/>
  <c r="D258" i="2"/>
  <c r="A258" i="2"/>
  <c r="AA257" i="2"/>
  <c r="U257" i="2"/>
  <c r="D257" i="2"/>
  <c r="A257" i="2"/>
  <c r="AA256" i="2"/>
  <c r="U256" i="2"/>
  <c r="D256" i="2"/>
  <c r="A256" i="2"/>
  <c r="AA255" i="2"/>
  <c r="U255" i="2"/>
  <c r="D255" i="2"/>
  <c r="A255" i="2"/>
  <c r="AA254" i="2"/>
  <c r="U254" i="2"/>
  <c r="D254" i="2"/>
  <c r="A254" i="2"/>
  <c r="AA253" i="2"/>
  <c r="U253" i="2"/>
  <c r="D253" i="2"/>
  <c r="A253" i="2"/>
  <c r="AA252" i="2"/>
  <c r="U252" i="2"/>
  <c r="D252" i="2"/>
  <c r="A252" i="2"/>
  <c r="AA251" i="2"/>
  <c r="U251" i="2"/>
  <c r="D251" i="2"/>
  <c r="A251" i="2"/>
  <c r="AA250" i="2"/>
  <c r="U250" i="2"/>
  <c r="D250" i="2"/>
  <c r="A250" i="2"/>
  <c r="AA249" i="2"/>
  <c r="U249" i="2"/>
  <c r="D249" i="2"/>
  <c r="A249" i="2"/>
  <c r="AA248" i="2"/>
  <c r="U248" i="2"/>
  <c r="D248" i="2"/>
  <c r="A248" i="2"/>
  <c r="AA247" i="2"/>
  <c r="U247" i="2"/>
  <c r="D247" i="2"/>
  <c r="A247" i="2"/>
  <c r="AA246" i="2"/>
  <c r="U246" i="2"/>
  <c r="D246" i="2"/>
  <c r="A246" i="2"/>
  <c r="AA245" i="2"/>
  <c r="U245" i="2"/>
  <c r="D245" i="2"/>
  <c r="A245" i="2"/>
  <c r="AA244" i="2"/>
  <c r="U244" i="2"/>
  <c r="D244" i="2"/>
  <c r="A244" i="2"/>
  <c r="AA243" i="2"/>
  <c r="U243" i="2"/>
  <c r="D243" i="2"/>
  <c r="A243" i="2"/>
  <c r="AA242" i="2"/>
  <c r="U242" i="2"/>
  <c r="D242" i="2"/>
  <c r="A242" i="2"/>
  <c r="AA241" i="2"/>
  <c r="U241" i="2"/>
  <c r="D241" i="2"/>
  <c r="A241" i="2"/>
  <c r="AA240" i="2"/>
  <c r="U240" i="2"/>
  <c r="D240" i="2"/>
  <c r="A240" i="2"/>
  <c r="AA239" i="2"/>
  <c r="U239" i="2"/>
  <c r="D239" i="2"/>
  <c r="A239" i="2"/>
  <c r="AA238" i="2"/>
  <c r="U238" i="2"/>
  <c r="D238" i="2"/>
  <c r="A238" i="2"/>
  <c r="AA237" i="2"/>
  <c r="U237" i="2"/>
  <c r="D237" i="2"/>
  <c r="A237" i="2"/>
  <c r="AA236" i="2"/>
  <c r="U236" i="2"/>
  <c r="D236" i="2"/>
  <c r="A236" i="2"/>
  <c r="AA235" i="2"/>
  <c r="U235" i="2"/>
  <c r="D235" i="2"/>
  <c r="A235" i="2"/>
  <c r="AA234" i="2"/>
  <c r="U234" i="2"/>
  <c r="D234" i="2"/>
  <c r="A234" i="2"/>
  <c r="AA233" i="2"/>
  <c r="U233" i="2"/>
  <c r="D233" i="2"/>
  <c r="A233" i="2"/>
  <c r="AA232" i="2"/>
  <c r="U232" i="2"/>
  <c r="D232" i="2"/>
  <c r="A232" i="2"/>
  <c r="AA231" i="2"/>
  <c r="U231" i="2"/>
  <c r="D231" i="2"/>
  <c r="A231" i="2"/>
  <c r="AA230" i="2"/>
  <c r="U230" i="2"/>
  <c r="D230" i="2"/>
  <c r="A230" i="2"/>
  <c r="AA229" i="2"/>
  <c r="U229" i="2"/>
  <c r="D229" i="2"/>
  <c r="A229" i="2"/>
  <c r="AA228" i="2"/>
  <c r="U228" i="2"/>
  <c r="D228" i="2"/>
  <c r="A228" i="2"/>
  <c r="AA227" i="2"/>
  <c r="U227" i="2"/>
  <c r="D227" i="2"/>
  <c r="A227" i="2"/>
  <c r="AA226" i="2"/>
  <c r="U226" i="2"/>
  <c r="D226" i="2"/>
  <c r="A226" i="2"/>
  <c r="AA225" i="2"/>
  <c r="U225" i="2"/>
  <c r="D225" i="2"/>
  <c r="A225" i="2"/>
  <c r="AA224" i="2"/>
  <c r="U224" i="2"/>
  <c r="D224" i="2"/>
  <c r="A224" i="2"/>
  <c r="AA223" i="2"/>
  <c r="U223" i="2"/>
  <c r="D223" i="2"/>
  <c r="A223" i="2"/>
  <c r="AA222" i="2"/>
  <c r="U222" i="2"/>
  <c r="D222" i="2"/>
  <c r="A222" i="2"/>
  <c r="AA221" i="2"/>
  <c r="U221" i="2"/>
  <c r="D221" i="2"/>
  <c r="A221" i="2"/>
  <c r="AA220" i="2"/>
  <c r="U220" i="2"/>
  <c r="D220" i="2"/>
  <c r="A220" i="2"/>
  <c r="AA219" i="2"/>
  <c r="U219" i="2"/>
  <c r="D219" i="2"/>
  <c r="A219" i="2"/>
  <c r="AA218" i="2"/>
  <c r="U218" i="2"/>
  <c r="D218" i="2"/>
  <c r="A218" i="2"/>
  <c r="AA217" i="2"/>
  <c r="U217" i="2"/>
  <c r="D217" i="2"/>
  <c r="A217" i="2"/>
  <c r="AA216" i="2"/>
  <c r="U216" i="2"/>
  <c r="D216" i="2"/>
  <c r="A216" i="2"/>
  <c r="AA215" i="2"/>
  <c r="U215" i="2"/>
  <c r="D215" i="2"/>
  <c r="A215" i="2"/>
  <c r="AA214" i="2"/>
  <c r="U214" i="2"/>
  <c r="D214" i="2"/>
  <c r="A214" i="2"/>
  <c r="AA213" i="2"/>
  <c r="U213" i="2"/>
  <c r="D213" i="2"/>
  <c r="A213" i="2"/>
  <c r="AA212" i="2"/>
  <c r="U212" i="2"/>
  <c r="D212" i="2"/>
  <c r="A212" i="2"/>
  <c r="AA211" i="2"/>
  <c r="U211" i="2"/>
  <c r="D211" i="2"/>
  <c r="A211" i="2"/>
  <c r="AA210" i="2"/>
  <c r="U210" i="2"/>
  <c r="D210" i="2"/>
  <c r="A210" i="2"/>
  <c r="AA209" i="2"/>
  <c r="U209" i="2"/>
  <c r="D209" i="2"/>
  <c r="A209" i="2"/>
  <c r="AA208" i="2"/>
  <c r="U208" i="2"/>
  <c r="D208" i="2"/>
  <c r="A208" i="2"/>
  <c r="AA207" i="2"/>
  <c r="U207" i="2"/>
  <c r="D207" i="2"/>
  <c r="A207" i="2"/>
  <c r="AA206" i="2"/>
  <c r="U206" i="2"/>
  <c r="D206" i="2"/>
  <c r="A206" i="2"/>
  <c r="AA205" i="2"/>
  <c r="U205" i="2"/>
  <c r="D205" i="2"/>
  <c r="A205" i="2"/>
  <c r="AA204" i="2"/>
  <c r="U204" i="2"/>
  <c r="D204" i="2"/>
  <c r="A204" i="2"/>
  <c r="AA203" i="2"/>
  <c r="U203" i="2"/>
  <c r="D203" i="2"/>
  <c r="A203" i="2"/>
  <c r="AA202" i="2"/>
  <c r="U202" i="2"/>
  <c r="D202" i="2"/>
  <c r="A202" i="2"/>
  <c r="AA201" i="2"/>
  <c r="U201" i="2"/>
  <c r="D201" i="2"/>
  <c r="A201" i="2"/>
  <c r="AA200" i="2"/>
  <c r="U200" i="2"/>
  <c r="D200" i="2"/>
  <c r="A200" i="2"/>
  <c r="AA199" i="2"/>
  <c r="U199" i="2"/>
  <c r="D199" i="2"/>
  <c r="A199" i="2"/>
  <c r="AA198" i="2"/>
  <c r="U198" i="2"/>
  <c r="D198" i="2"/>
  <c r="A198" i="2"/>
  <c r="AA197" i="2"/>
  <c r="U197" i="2"/>
  <c r="D197" i="2"/>
  <c r="A197" i="2"/>
  <c r="AA196" i="2"/>
  <c r="U196" i="2"/>
  <c r="D196" i="2"/>
  <c r="A196" i="2"/>
  <c r="AA195" i="2"/>
  <c r="U195" i="2"/>
  <c r="D195" i="2"/>
  <c r="A195" i="2"/>
  <c r="AA194" i="2"/>
  <c r="U194" i="2"/>
  <c r="D194" i="2"/>
  <c r="A194" i="2"/>
  <c r="AA193" i="2"/>
  <c r="U193" i="2"/>
  <c r="D193" i="2"/>
  <c r="A193" i="2"/>
  <c r="AA192" i="2"/>
  <c r="U192" i="2"/>
  <c r="D192" i="2"/>
  <c r="A192" i="2"/>
  <c r="AA191" i="2"/>
  <c r="U191" i="2"/>
  <c r="D191" i="2"/>
  <c r="A191" i="2"/>
  <c r="AA190" i="2"/>
  <c r="U190" i="2"/>
  <c r="D190" i="2"/>
  <c r="A190" i="2"/>
  <c r="AA189" i="2"/>
  <c r="U189" i="2"/>
  <c r="D189" i="2"/>
  <c r="A189" i="2"/>
  <c r="AA188" i="2"/>
  <c r="U188" i="2"/>
  <c r="D188" i="2"/>
  <c r="A188" i="2"/>
  <c r="AA187" i="2"/>
  <c r="U187" i="2"/>
  <c r="D187" i="2"/>
  <c r="A187" i="2"/>
  <c r="AA186" i="2"/>
  <c r="U186" i="2"/>
  <c r="D186" i="2"/>
  <c r="A186" i="2"/>
  <c r="AA185" i="2"/>
  <c r="U185" i="2"/>
  <c r="D185" i="2"/>
  <c r="A185" i="2"/>
  <c r="AA184" i="2"/>
  <c r="U184" i="2"/>
  <c r="D184" i="2"/>
  <c r="A184" i="2"/>
  <c r="AA183" i="2"/>
  <c r="U183" i="2"/>
  <c r="D183" i="2"/>
  <c r="A183" i="2"/>
  <c r="AA182" i="2"/>
  <c r="U182" i="2"/>
  <c r="D182" i="2"/>
  <c r="A182" i="2"/>
  <c r="AA181" i="2"/>
  <c r="U181" i="2"/>
  <c r="D181" i="2"/>
  <c r="A181" i="2"/>
  <c r="AA180" i="2"/>
  <c r="U180" i="2"/>
  <c r="D180" i="2"/>
  <c r="A180" i="2"/>
  <c r="AA179" i="2"/>
  <c r="U179" i="2"/>
  <c r="D179" i="2"/>
  <c r="A179" i="2"/>
  <c r="AA178" i="2"/>
  <c r="U178" i="2"/>
  <c r="D178" i="2"/>
  <c r="A178" i="2"/>
  <c r="AA177" i="2"/>
  <c r="U177" i="2"/>
  <c r="D177" i="2"/>
  <c r="A177" i="2"/>
  <c r="AA176" i="2"/>
  <c r="U176" i="2"/>
  <c r="D176" i="2"/>
  <c r="A176" i="2"/>
  <c r="AA175" i="2"/>
  <c r="U175" i="2"/>
  <c r="D175" i="2"/>
  <c r="A175" i="2"/>
  <c r="AA174" i="2"/>
  <c r="U174" i="2"/>
  <c r="D174" i="2"/>
  <c r="A174" i="2"/>
  <c r="AA173" i="2"/>
  <c r="U173" i="2"/>
  <c r="D173" i="2"/>
  <c r="A173" i="2"/>
  <c r="AA172" i="2"/>
  <c r="U172" i="2"/>
  <c r="D172" i="2"/>
  <c r="A172" i="2"/>
  <c r="AA171" i="2"/>
  <c r="U171" i="2"/>
  <c r="D171" i="2"/>
  <c r="A171" i="2"/>
  <c r="AA170" i="2"/>
  <c r="U170" i="2"/>
  <c r="D170" i="2"/>
  <c r="A170" i="2"/>
  <c r="AA169" i="2"/>
  <c r="U169" i="2"/>
  <c r="D169" i="2"/>
  <c r="A169" i="2"/>
  <c r="AA168" i="2"/>
  <c r="U168" i="2"/>
  <c r="D168" i="2"/>
  <c r="A168" i="2"/>
  <c r="AA167" i="2"/>
  <c r="U167" i="2"/>
  <c r="D167" i="2"/>
  <c r="A167" i="2"/>
  <c r="AA166" i="2"/>
  <c r="U166" i="2"/>
  <c r="D166" i="2"/>
  <c r="A166" i="2"/>
  <c r="AA165" i="2"/>
  <c r="U165" i="2"/>
  <c r="D165" i="2"/>
  <c r="A165" i="2"/>
  <c r="AA164" i="2"/>
  <c r="U164" i="2"/>
  <c r="D164" i="2"/>
  <c r="A164" i="2"/>
  <c r="AA163" i="2"/>
  <c r="U163" i="2"/>
  <c r="D163" i="2"/>
  <c r="A163" i="2"/>
  <c r="AA162" i="2"/>
  <c r="U162" i="2"/>
  <c r="D162" i="2"/>
  <c r="A162" i="2"/>
  <c r="AA161" i="2"/>
  <c r="U161" i="2"/>
  <c r="D161" i="2"/>
  <c r="A161" i="2"/>
  <c r="AA160" i="2"/>
  <c r="U160" i="2"/>
  <c r="D160" i="2"/>
  <c r="A160" i="2"/>
  <c r="AA159" i="2"/>
  <c r="U159" i="2"/>
  <c r="D159" i="2"/>
  <c r="A159" i="2"/>
  <c r="AA158" i="2"/>
  <c r="U158" i="2"/>
  <c r="D158" i="2"/>
  <c r="A158" i="2"/>
  <c r="AA157" i="2"/>
  <c r="U157" i="2"/>
  <c r="D157" i="2"/>
  <c r="A157" i="2"/>
  <c r="AA156" i="2"/>
  <c r="U156" i="2"/>
  <c r="D156" i="2"/>
  <c r="A156" i="2"/>
  <c r="AA155" i="2"/>
  <c r="U155" i="2"/>
  <c r="D155" i="2"/>
  <c r="A155" i="2"/>
  <c r="AA154" i="2"/>
  <c r="U154" i="2"/>
  <c r="D154" i="2"/>
  <c r="A154" i="2"/>
  <c r="AA153" i="2"/>
  <c r="U153" i="2"/>
  <c r="D153" i="2"/>
  <c r="A153" i="2"/>
  <c r="AA152" i="2"/>
  <c r="U152" i="2"/>
  <c r="D152" i="2"/>
  <c r="A152" i="2"/>
  <c r="AA151" i="2"/>
  <c r="U151" i="2"/>
  <c r="D151" i="2"/>
  <c r="A151" i="2"/>
  <c r="AA150" i="2"/>
  <c r="U150" i="2"/>
  <c r="D150" i="2"/>
  <c r="A150" i="2"/>
  <c r="AA149" i="2"/>
  <c r="U149" i="2"/>
  <c r="D149" i="2"/>
  <c r="A149" i="2"/>
  <c r="AA148" i="2"/>
  <c r="U148" i="2"/>
  <c r="D148" i="2"/>
  <c r="A148" i="2"/>
  <c r="AA147" i="2"/>
  <c r="U147" i="2"/>
  <c r="D147" i="2"/>
  <c r="A147" i="2"/>
  <c r="AA146" i="2"/>
  <c r="U146" i="2"/>
  <c r="D146" i="2"/>
  <c r="A146" i="2"/>
  <c r="AA145" i="2"/>
  <c r="U145" i="2"/>
  <c r="D145" i="2"/>
  <c r="A145" i="2"/>
  <c r="AA144" i="2"/>
  <c r="U144" i="2"/>
  <c r="D144" i="2"/>
  <c r="A144" i="2"/>
  <c r="AA143" i="2"/>
  <c r="U143" i="2"/>
  <c r="D143" i="2"/>
  <c r="A143" i="2"/>
  <c r="AA142" i="2"/>
  <c r="U142" i="2"/>
  <c r="D142" i="2"/>
  <c r="A142" i="2"/>
  <c r="AA141" i="2"/>
  <c r="U141" i="2"/>
  <c r="D141" i="2"/>
  <c r="A141" i="2"/>
  <c r="AA140" i="2"/>
  <c r="U140" i="2"/>
  <c r="D140" i="2"/>
  <c r="A140" i="2"/>
  <c r="AA139" i="2"/>
  <c r="U139" i="2"/>
  <c r="D139" i="2"/>
  <c r="A139" i="2"/>
  <c r="AA138" i="2"/>
  <c r="U138" i="2"/>
  <c r="D138" i="2"/>
  <c r="A138" i="2"/>
  <c r="AA137" i="2"/>
  <c r="U137" i="2"/>
  <c r="D137" i="2"/>
  <c r="A137" i="2"/>
  <c r="AA136" i="2"/>
  <c r="U136" i="2"/>
  <c r="D136" i="2"/>
  <c r="A136" i="2"/>
  <c r="AA135" i="2"/>
  <c r="U135" i="2"/>
  <c r="D135" i="2"/>
  <c r="A135" i="2"/>
  <c r="AA134" i="2"/>
  <c r="U134" i="2"/>
  <c r="D134" i="2"/>
  <c r="A134" i="2"/>
  <c r="AA133" i="2"/>
  <c r="U133" i="2"/>
  <c r="D133" i="2"/>
  <c r="A133" i="2"/>
  <c r="AA132" i="2"/>
  <c r="U132" i="2"/>
  <c r="D132" i="2"/>
  <c r="A132" i="2"/>
  <c r="AA131" i="2"/>
  <c r="U131" i="2"/>
  <c r="D131" i="2"/>
  <c r="A131" i="2"/>
  <c r="AA130" i="2"/>
  <c r="U130" i="2"/>
  <c r="D130" i="2"/>
  <c r="A130" i="2"/>
  <c r="AA129" i="2"/>
  <c r="U129" i="2"/>
  <c r="D129" i="2"/>
  <c r="A129" i="2"/>
  <c r="AA128" i="2"/>
  <c r="U128" i="2"/>
  <c r="D128" i="2"/>
  <c r="A128" i="2"/>
  <c r="AA127" i="2"/>
  <c r="U127" i="2"/>
  <c r="D127" i="2"/>
  <c r="A127" i="2"/>
  <c r="AA126" i="2"/>
  <c r="U126" i="2"/>
  <c r="D126" i="2"/>
  <c r="A126" i="2"/>
  <c r="AA125" i="2"/>
  <c r="U125" i="2"/>
  <c r="D125" i="2"/>
  <c r="A125" i="2"/>
  <c r="AA124" i="2"/>
  <c r="U124" i="2"/>
  <c r="D124" i="2"/>
  <c r="A124" i="2"/>
  <c r="AA123" i="2"/>
  <c r="U123" i="2"/>
  <c r="D123" i="2"/>
  <c r="A123" i="2"/>
  <c r="AA122" i="2"/>
  <c r="U122" i="2"/>
  <c r="D122" i="2"/>
  <c r="A122" i="2"/>
  <c r="AA121" i="2"/>
  <c r="U121" i="2"/>
  <c r="D121" i="2"/>
  <c r="A121" i="2"/>
  <c r="AA120" i="2"/>
  <c r="U120" i="2"/>
  <c r="D120" i="2"/>
  <c r="A120" i="2"/>
  <c r="AA119" i="2"/>
  <c r="U119" i="2"/>
  <c r="D119" i="2"/>
  <c r="A119" i="2"/>
  <c r="AA118" i="2"/>
  <c r="U118" i="2"/>
  <c r="D118" i="2"/>
  <c r="A118" i="2"/>
  <c r="AA117" i="2"/>
  <c r="U117" i="2"/>
  <c r="D117" i="2"/>
  <c r="A117" i="2"/>
  <c r="AA116" i="2"/>
  <c r="U116" i="2"/>
  <c r="D116" i="2"/>
  <c r="A116" i="2"/>
  <c r="AA115" i="2"/>
  <c r="U115" i="2"/>
  <c r="D115" i="2"/>
  <c r="A115" i="2"/>
  <c r="AA114" i="2"/>
  <c r="U114" i="2"/>
  <c r="D114" i="2"/>
  <c r="A114" i="2"/>
  <c r="AA113" i="2"/>
  <c r="U113" i="2"/>
  <c r="D113" i="2"/>
  <c r="A113" i="2"/>
  <c r="AA112" i="2"/>
  <c r="U112" i="2"/>
  <c r="D112" i="2"/>
  <c r="A112" i="2"/>
  <c r="AA111" i="2"/>
  <c r="U111" i="2"/>
  <c r="D111" i="2"/>
  <c r="A111" i="2"/>
  <c r="AA110" i="2"/>
  <c r="U110" i="2"/>
  <c r="D110" i="2"/>
  <c r="A110" i="2"/>
  <c r="AA109" i="2"/>
  <c r="U109" i="2"/>
  <c r="D109" i="2"/>
  <c r="A109" i="2"/>
  <c r="AA108" i="2"/>
  <c r="U108" i="2"/>
  <c r="D108" i="2"/>
  <c r="A108" i="2"/>
  <c r="AA107" i="2"/>
  <c r="U107" i="2"/>
  <c r="D107" i="2"/>
  <c r="A107" i="2"/>
  <c r="AA106" i="2"/>
  <c r="U106" i="2"/>
  <c r="D106" i="2"/>
  <c r="A106" i="2"/>
  <c r="AA105" i="2"/>
  <c r="U105" i="2"/>
  <c r="D105" i="2"/>
  <c r="A105" i="2"/>
  <c r="AA104" i="2"/>
  <c r="U104" i="2"/>
  <c r="D104" i="2"/>
  <c r="A104" i="2"/>
  <c r="AA103" i="2"/>
  <c r="U103" i="2"/>
  <c r="D103" i="2"/>
  <c r="A103" i="2"/>
  <c r="AA102" i="2"/>
  <c r="U102" i="2"/>
  <c r="D102" i="2"/>
  <c r="A102" i="2"/>
  <c r="AA101" i="2"/>
  <c r="U101" i="2"/>
  <c r="D101" i="2"/>
  <c r="A101" i="2"/>
  <c r="AA100" i="2"/>
  <c r="U100" i="2"/>
  <c r="D100" i="2"/>
  <c r="A100" i="2"/>
  <c r="AA99" i="2"/>
  <c r="U99" i="2"/>
  <c r="D99" i="2"/>
  <c r="A99" i="2"/>
  <c r="AA98" i="2"/>
  <c r="U98" i="2"/>
  <c r="D98" i="2"/>
  <c r="A98" i="2"/>
  <c r="AA97" i="2"/>
  <c r="U97" i="2"/>
  <c r="D97" i="2"/>
  <c r="A97" i="2"/>
  <c r="AA96" i="2"/>
  <c r="U96" i="2"/>
  <c r="D96" i="2"/>
  <c r="A96" i="2"/>
  <c r="AA95" i="2"/>
  <c r="U95" i="2"/>
  <c r="D95" i="2"/>
  <c r="A95" i="2"/>
  <c r="AA94" i="2"/>
  <c r="U94" i="2"/>
  <c r="D94" i="2"/>
  <c r="A94" i="2"/>
  <c r="AA93" i="2"/>
  <c r="U93" i="2"/>
  <c r="D93" i="2"/>
  <c r="A93" i="2"/>
  <c r="AA92" i="2"/>
  <c r="U92" i="2"/>
  <c r="D92" i="2"/>
  <c r="A92" i="2"/>
  <c r="AA91" i="2"/>
  <c r="U91" i="2"/>
  <c r="D91" i="2"/>
  <c r="A91" i="2"/>
  <c r="AA90" i="2"/>
  <c r="U90" i="2"/>
  <c r="D90" i="2"/>
  <c r="A90" i="2"/>
  <c r="AA89" i="2"/>
  <c r="U89" i="2"/>
  <c r="D89" i="2"/>
  <c r="A89" i="2"/>
  <c r="AA88" i="2"/>
  <c r="U88" i="2"/>
  <c r="D88" i="2"/>
  <c r="A88" i="2"/>
  <c r="AA87" i="2"/>
  <c r="U87" i="2"/>
  <c r="D87" i="2"/>
  <c r="A87" i="2"/>
  <c r="AA86" i="2"/>
  <c r="U86" i="2"/>
  <c r="D86" i="2"/>
  <c r="A86" i="2"/>
  <c r="AA85" i="2"/>
  <c r="U85" i="2"/>
  <c r="D85" i="2"/>
  <c r="A85" i="2"/>
  <c r="AA84" i="2"/>
  <c r="U84" i="2"/>
  <c r="D84" i="2"/>
  <c r="A84" i="2"/>
  <c r="AA83" i="2"/>
  <c r="U83" i="2"/>
  <c r="D83" i="2"/>
  <c r="A83" i="2"/>
  <c r="AA82" i="2"/>
  <c r="U82" i="2"/>
  <c r="D82" i="2"/>
  <c r="A82" i="2"/>
  <c r="AA81" i="2"/>
  <c r="U81" i="2"/>
  <c r="D81" i="2"/>
  <c r="A81" i="2"/>
  <c r="AA80" i="2"/>
  <c r="U80" i="2"/>
  <c r="D80" i="2"/>
  <c r="A80" i="2"/>
  <c r="AA79" i="2"/>
  <c r="U79" i="2"/>
  <c r="D79" i="2"/>
  <c r="A79" i="2"/>
  <c r="AA78" i="2"/>
  <c r="U78" i="2"/>
  <c r="D78" i="2"/>
  <c r="A78" i="2"/>
  <c r="AA77" i="2"/>
  <c r="U77" i="2"/>
  <c r="D77" i="2"/>
  <c r="A77" i="2"/>
  <c r="AA76" i="2"/>
  <c r="U76" i="2"/>
  <c r="D76" i="2"/>
  <c r="A76" i="2"/>
  <c r="AA75" i="2"/>
  <c r="U75" i="2"/>
  <c r="D75" i="2"/>
  <c r="A75" i="2"/>
  <c r="AA74" i="2"/>
  <c r="U74" i="2"/>
  <c r="D74" i="2"/>
  <c r="A74" i="2"/>
  <c r="AA73" i="2"/>
  <c r="U73" i="2"/>
  <c r="D73" i="2"/>
  <c r="A73" i="2"/>
  <c r="AA72" i="2"/>
  <c r="U72" i="2"/>
  <c r="D72" i="2"/>
  <c r="A72" i="2"/>
  <c r="AA71" i="2"/>
  <c r="U71" i="2"/>
  <c r="D71" i="2"/>
  <c r="A71" i="2"/>
  <c r="AA70" i="2"/>
  <c r="U70" i="2"/>
  <c r="D70" i="2"/>
  <c r="A70" i="2"/>
  <c r="AA69" i="2"/>
  <c r="U69" i="2"/>
  <c r="D69" i="2"/>
  <c r="A69" i="2"/>
  <c r="AA68" i="2"/>
  <c r="U68" i="2"/>
  <c r="D68" i="2"/>
  <c r="A68" i="2"/>
  <c r="AA67" i="2"/>
  <c r="U67" i="2"/>
  <c r="D67" i="2"/>
  <c r="A67" i="2"/>
  <c r="AA66" i="2"/>
  <c r="U66" i="2"/>
  <c r="D66" i="2"/>
  <c r="A66" i="2"/>
  <c r="AA65" i="2"/>
  <c r="U65" i="2"/>
  <c r="D65" i="2"/>
  <c r="A65" i="2"/>
  <c r="AA64" i="2"/>
  <c r="U64" i="2"/>
  <c r="D64" i="2"/>
  <c r="A64" i="2"/>
  <c r="AA63" i="2"/>
  <c r="U63" i="2"/>
  <c r="D63" i="2"/>
  <c r="A63" i="2"/>
  <c r="AA62" i="2"/>
  <c r="U62" i="2"/>
  <c r="D62" i="2"/>
  <c r="A62" i="2"/>
  <c r="AA61" i="2"/>
  <c r="U61" i="2"/>
  <c r="D61" i="2"/>
  <c r="A61" i="2"/>
  <c r="AA60" i="2"/>
  <c r="U60" i="2"/>
  <c r="D60" i="2"/>
  <c r="A60" i="2"/>
  <c r="AA59" i="2"/>
  <c r="U59" i="2"/>
  <c r="D59" i="2"/>
  <c r="A59" i="2"/>
  <c r="AA58" i="2"/>
  <c r="U58" i="2"/>
  <c r="D58" i="2"/>
  <c r="A58" i="2"/>
  <c r="AA57" i="2"/>
  <c r="U57" i="2"/>
  <c r="D57" i="2"/>
  <c r="A57" i="2"/>
  <c r="AA56" i="2"/>
  <c r="U56" i="2"/>
  <c r="D56" i="2"/>
  <c r="A56" i="2"/>
  <c r="AA55" i="2"/>
  <c r="U55" i="2"/>
  <c r="D55" i="2"/>
  <c r="A55" i="2"/>
  <c r="AA54" i="2"/>
  <c r="U54" i="2"/>
  <c r="D54" i="2"/>
  <c r="A54" i="2"/>
  <c r="AA53" i="2"/>
  <c r="U53" i="2"/>
  <c r="D53" i="2"/>
  <c r="A53" i="2"/>
  <c r="AA52" i="2"/>
  <c r="U52" i="2"/>
  <c r="D52" i="2"/>
  <c r="A52" i="2"/>
  <c r="AA51" i="2"/>
  <c r="U51" i="2"/>
  <c r="D51" i="2"/>
  <c r="A51" i="2"/>
  <c r="AA50" i="2"/>
  <c r="U50" i="2"/>
  <c r="D50" i="2"/>
  <c r="A50" i="2"/>
  <c r="AA49" i="2"/>
  <c r="U49" i="2"/>
  <c r="D49" i="2"/>
  <c r="A49" i="2"/>
  <c r="AA48" i="2"/>
  <c r="U48" i="2"/>
  <c r="D48" i="2"/>
  <c r="A48" i="2"/>
  <c r="AA47" i="2"/>
  <c r="U47" i="2"/>
  <c r="D47" i="2"/>
  <c r="A47" i="2"/>
  <c r="AA46" i="2"/>
  <c r="U46" i="2"/>
  <c r="D46" i="2"/>
  <c r="A46" i="2"/>
  <c r="AA45" i="2"/>
  <c r="U45" i="2"/>
  <c r="D45" i="2"/>
  <c r="A45" i="2"/>
  <c r="AA44" i="2"/>
  <c r="U44" i="2"/>
  <c r="D44" i="2"/>
  <c r="A44" i="2"/>
  <c r="AA43" i="2"/>
  <c r="U43" i="2"/>
  <c r="D43" i="2"/>
  <c r="A43" i="2"/>
  <c r="AA42" i="2"/>
  <c r="U42" i="2"/>
  <c r="D42" i="2"/>
  <c r="A42" i="2"/>
  <c r="AA41" i="2"/>
  <c r="U41" i="2"/>
  <c r="D41" i="2"/>
  <c r="A41" i="2"/>
  <c r="AA40" i="2"/>
  <c r="U40" i="2"/>
  <c r="D40" i="2"/>
  <c r="A40" i="2"/>
  <c r="AA39" i="2"/>
  <c r="U39" i="2"/>
  <c r="D39" i="2"/>
  <c r="A39" i="2"/>
  <c r="AA38" i="2"/>
  <c r="U38" i="2"/>
  <c r="D38" i="2"/>
  <c r="A38" i="2"/>
  <c r="AA37" i="2"/>
  <c r="U37" i="2"/>
  <c r="D37" i="2"/>
  <c r="A37" i="2"/>
  <c r="AA36" i="2"/>
  <c r="U36" i="2"/>
  <c r="D36" i="2"/>
  <c r="A36" i="2"/>
  <c r="AA35" i="2"/>
  <c r="U35" i="2"/>
  <c r="D35" i="2"/>
  <c r="A35" i="2"/>
  <c r="AA34" i="2"/>
  <c r="U34" i="2"/>
  <c r="D34" i="2"/>
  <c r="A34" i="2"/>
  <c r="AA33" i="2"/>
  <c r="U33" i="2"/>
  <c r="D33" i="2"/>
  <c r="A33" i="2"/>
  <c r="AA32" i="2"/>
  <c r="U32" i="2"/>
  <c r="D32" i="2"/>
  <c r="A32" i="2"/>
  <c r="AA31" i="2"/>
  <c r="U31" i="2"/>
  <c r="D31" i="2"/>
  <c r="A31" i="2"/>
  <c r="AA30" i="2"/>
  <c r="U30" i="2"/>
  <c r="D30" i="2"/>
  <c r="A30" i="2"/>
  <c r="AA29" i="2"/>
  <c r="U29" i="2"/>
  <c r="D29" i="2"/>
  <c r="A29" i="2"/>
  <c r="AA28" i="2"/>
  <c r="U28" i="2"/>
  <c r="D28" i="2"/>
  <c r="A28" i="2"/>
  <c r="AA27" i="2"/>
  <c r="U27" i="2"/>
  <c r="D27" i="2"/>
  <c r="A27" i="2"/>
  <c r="AA26" i="2"/>
  <c r="U26" i="2"/>
  <c r="D26" i="2"/>
  <c r="A26" i="2"/>
  <c r="AA25" i="2"/>
  <c r="U25" i="2"/>
  <c r="D25" i="2"/>
  <c r="A25" i="2"/>
  <c r="AA24" i="2"/>
  <c r="U24" i="2"/>
  <c r="D24" i="2"/>
  <c r="A24" i="2"/>
  <c r="AA23" i="2"/>
  <c r="U23" i="2"/>
  <c r="D23" i="2"/>
  <c r="A23" i="2"/>
  <c r="AA22" i="2"/>
  <c r="U22" i="2"/>
  <c r="D22" i="2"/>
  <c r="A22" i="2"/>
  <c r="AA21" i="2"/>
  <c r="U21" i="2"/>
  <c r="D21" i="2"/>
  <c r="A21" i="2"/>
  <c r="AA20" i="2"/>
  <c r="U20" i="2"/>
  <c r="D20" i="2"/>
  <c r="A20" i="2"/>
  <c r="AA19" i="2"/>
  <c r="U19" i="2"/>
  <c r="D19" i="2"/>
  <c r="A19" i="2"/>
  <c r="AA18" i="2"/>
  <c r="U18" i="2"/>
  <c r="D18" i="2"/>
  <c r="A18" i="2"/>
  <c r="AA17" i="2"/>
  <c r="U17" i="2"/>
  <c r="D17" i="2"/>
  <c r="A17" i="2"/>
  <c r="AA16" i="2"/>
  <c r="U16" i="2"/>
  <c r="D16" i="2"/>
  <c r="A16" i="2"/>
  <c r="AA15" i="2"/>
  <c r="U15" i="2"/>
  <c r="D15" i="2"/>
  <c r="A15" i="2"/>
  <c r="AA14" i="2"/>
  <c r="U14" i="2"/>
  <c r="D14" i="2"/>
  <c r="A14" i="2"/>
  <c r="AA13" i="2"/>
  <c r="U13" i="2"/>
  <c r="D13" i="2"/>
  <c r="A13" i="2"/>
  <c r="AA12" i="2"/>
  <c r="U12" i="2"/>
  <c r="D12" i="2"/>
  <c r="A12" i="2"/>
  <c r="AA11" i="2"/>
  <c r="U11" i="2"/>
  <c r="D11" i="2"/>
  <c r="A11" i="2"/>
  <c r="AA10" i="2"/>
  <c r="U10" i="2"/>
  <c r="D10" i="2"/>
  <c r="A10" i="2"/>
  <c r="AA9" i="2"/>
  <c r="U9" i="2"/>
  <c r="D9" i="2"/>
  <c r="A9" i="2"/>
  <c r="AA8" i="2"/>
  <c r="U8" i="2"/>
  <c r="D8" i="2"/>
  <c r="A8" i="2"/>
  <c r="AA7" i="2"/>
  <c r="U7" i="2"/>
  <c r="D7" i="2"/>
  <c r="A7" i="2"/>
  <c r="AA6" i="2"/>
  <c r="U6" i="2"/>
  <c r="D6" i="2"/>
  <c r="A6" i="2"/>
  <c r="AA5" i="2"/>
  <c r="U5" i="2"/>
  <c r="D5" i="2"/>
  <c r="A5" i="2"/>
  <c r="AA4" i="2"/>
  <c r="U4" i="2"/>
  <c r="D4" i="2"/>
  <c r="A4" i="2"/>
  <c r="AA3" i="2"/>
  <c r="U3" i="2"/>
  <c r="D3" i="2"/>
  <c r="A3" i="2"/>
  <c r="AA2" i="2"/>
  <c r="U2" i="2"/>
  <c r="D2" i="2"/>
  <c r="K13" i="3" s="1"/>
  <c r="A2" i="2"/>
  <c r="A32" i="1"/>
  <c r="A31" i="1"/>
  <c r="A30" i="1"/>
  <c r="A29" i="1"/>
  <c r="A28" i="1"/>
  <c r="A27" i="1"/>
  <c r="A26" i="1"/>
  <c r="A25" i="1"/>
  <c r="A24" i="1"/>
  <c r="A23" i="1"/>
  <c r="A22" i="1"/>
  <c r="A21" i="1"/>
  <c r="B15" i="1"/>
  <c r="B14" i="1"/>
  <c r="B13" i="1"/>
  <c r="N13" i="3" l="1"/>
  <c r="L13" i="3"/>
  <c r="F32" i="1" s="1"/>
  <c r="B2" i="3"/>
  <c r="F2" i="3"/>
  <c r="J2" i="3"/>
  <c r="D3" i="3"/>
  <c r="D22" i="1" s="1"/>
  <c r="H3" i="3"/>
  <c r="B4" i="3"/>
  <c r="F4" i="3"/>
  <c r="J4" i="3"/>
  <c r="E23" i="1" s="1"/>
  <c r="D5" i="3"/>
  <c r="D24" i="1" s="1"/>
  <c r="H5" i="3"/>
  <c r="B6" i="3"/>
  <c r="F6" i="3"/>
  <c r="J6" i="3"/>
  <c r="E25" i="1" s="1"/>
  <c r="D7" i="3"/>
  <c r="D26" i="1" s="1"/>
  <c r="H7" i="3"/>
  <c r="B8" i="3"/>
  <c r="F8" i="3"/>
  <c r="J8" i="3"/>
  <c r="E27" i="1" s="1"/>
  <c r="D9" i="3"/>
  <c r="D28" i="1" s="1"/>
  <c r="H9" i="3"/>
  <c r="B10" i="3"/>
  <c r="F10" i="3"/>
  <c r="J10" i="3"/>
  <c r="E29" i="1" s="1"/>
  <c r="D11" i="3"/>
  <c r="D30" i="1" s="1"/>
  <c r="H11" i="3"/>
  <c r="B12" i="3"/>
  <c r="F12" i="3"/>
  <c r="J12" i="3"/>
  <c r="E31" i="1" s="1"/>
  <c r="D13" i="3"/>
  <c r="D32" i="1" s="1"/>
  <c r="H13" i="3"/>
  <c r="C2" i="3"/>
  <c r="G2" i="3"/>
  <c r="K2" i="3"/>
  <c r="E3" i="3"/>
  <c r="I3" i="3"/>
  <c r="C4" i="3"/>
  <c r="G4" i="3"/>
  <c r="K4" i="3"/>
  <c r="E5" i="3"/>
  <c r="I5" i="3"/>
  <c r="C6" i="3"/>
  <c r="G6" i="3"/>
  <c r="K6" i="3"/>
  <c r="E7" i="3"/>
  <c r="I7" i="3"/>
  <c r="C8" i="3"/>
  <c r="G8" i="3"/>
  <c r="K8" i="3"/>
  <c r="E9" i="3"/>
  <c r="I9" i="3"/>
  <c r="C10" i="3"/>
  <c r="G10" i="3"/>
  <c r="K10" i="3"/>
  <c r="E11" i="3"/>
  <c r="I11" i="3"/>
  <c r="C12" i="3"/>
  <c r="G12" i="3"/>
  <c r="K12" i="3"/>
  <c r="E13" i="3"/>
  <c r="I13" i="3"/>
  <c r="D2" i="3"/>
  <c r="H2" i="3"/>
  <c r="B3" i="3"/>
  <c r="F3" i="3"/>
  <c r="J3" i="3"/>
  <c r="E22" i="1" s="1"/>
  <c r="D4" i="3"/>
  <c r="D23" i="1" s="1"/>
  <c r="H4" i="3"/>
  <c r="B5" i="3"/>
  <c r="F5" i="3"/>
  <c r="J5" i="3"/>
  <c r="E24" i="1" s="1"/>
  <c r="D6" i="3"/>
  <c r="D25" i="1" s="1"/>
  <c r="H6" i="3"/>
  <c r="B7" i="3"/>
  <c r="F7" i="3"/>
  <c r="J7" i="3"/>
  <c r="E26" i="1" s="1"/>
  <c r="D8" i="3"/>
  <c r="D27" i="1" s="1"/>
  <c r="H8" i="3"/>
  <c r="B9" i="3"/>
  <c r="F9" i="3"/>
  <c r="J9" i="3"/>
  <c r="E28" i="1" s="1"/>
  <c r="D10" i="3"/>
  <c r="D29" i="1" s="1"/>
  <c r="H10" i="3"/>
  <c r="B11" i="3"/>
  <c r="F11" i="3"/>
  <c r="J11" i="3"/>
  <c r="E30" i="1" s="1"/>
  <c r="D12" i="3"/>
  <c r="D31" i="1" s="1"/>
  <c r="H12" i="3"/>
  <c r="B13" i="3"/>
  <c r="F13" i="3"/>
  <c r="J13" i="3"/>
  <c r="E32" i="1" s="1"/>
  <c r="E2" i="3"/>
  <c r="I2" i="3"/>
  <c r="C3" i="3"/>
  <c r="G3" i="3"/>
  <c r="K3" i="3"/>
  <c r="E4" i="3"/>
  <c r="I4" i="3"/>
  <c r="C5" i="3"/>
  <c r="G5" i="3"/>
  <c r="K5" i="3"/>
  <c r="E6" i="3"/>
  <c r="I6" i="3"/>
  <c r="C7" i="3"/>
  <c r="G7" i="3"/>
  <c r="K7" i="3"/>
  <c r="E8" i="3"/>
  <c r="I8" i="3"/>
  <c r="C9" i="3"/>
  <c r="G9" i="3"/>
  <c r="K9" i="3"/>
  <c r="E10" i="3"/>
  <c r="I10" i="3"/>
  <c r="C11" i="3"/>
  <c r="G11" i="3"/>
  <c r="K11" i="3"/>
  <c r="E12" i="3"/>
  <c r="I12" i="3"/>
  <c r="C13" i="3"/>
  <c r="G13" i="3"/>
  <c r="O13" i="3" l="1"/>
  <c r="C32" i="1"/>
  <c r="N9" i="3"/>
  <c r="L9" i="3"/>
  <c r="F28" i="1" s="1"/>
  <c r="O5" i="3"/>
  <c r="C24" i="1"/>
  <c r="M9" i="3"/>
  <c r="B28" i="1"/>
  <c r="I44" i="1"/>
  <c r="G9" i="1"/>
  <c r="B16" i="1" s="1"/>
  <c r="M12" i="3"/>
  <c r="B31" i="1"/>
  <c r="M4" i="3"/>
  <c r="B23" i="1"/>
  <c r="O3" i="3"/>
  <c r="C22" i="1"/>
  <c r="M7" i="3"/>
  <c r="B26" i="1"/>
  <c r="O6" i="3"/>
  <c r="C25" i="1"/>
  <c r="M2" i="3"/>
  <c r="B21" i="1"/>
  <c r="A6" i="1"/>
  <c r="B32" i="1"/>
  <c r="M13" i="3"/>
  <c r="M5" i="3"/>
  <c r="B24" i="1"/>
  <c r="O12" i="3"/>
  <c r="C31" i="1"/>
  <c r="L8" i="3"/>
  <c r="F27" i="1" s="1"/>
  <c r="N8" i="3"/>
  <c r="O4" i="3"/>
  <c r="C23" i="1"/>
  <c r="I43" i="1"/>
  <c r="E9" i="1"/>
  <c r="M8" i="3"/>
  <c r="B27" i="1"/>
  <c r="L12" i="3"/>
  <c r="F31" i="1" s="1"/>
  <c r="N12" i="3"/>
  <c r="O8" i="3"/>
  <c r="C27" i="1"/>
  <c r="L4" i="3"/>
  <c r="F23" i="1" s="1"/>
  <c r="N4" i="3"/>
  <c r="I42" i="1"/>
  <c r="O11" i="3"/>
  <c r="C30" i="1"/>
  <c r="N7" i="3"/>
  <c r="L7" i="3"/>
  <c r="F26" i="1" s="1"/>
  <c r="I46" i="1"/>
  <c r="D21" i="1"/>
  <c r="E6" i="1"/>
  <c r="L10" i="3"/>
  <c r="F29" i="1" s="1"/>
  <c r="N10" i="3"/>
  <c r="A9" i="1"/>
  <c r="L2" i="3"/>
  <c r="F21" i="1" s="1"/>
  <c r="N2" i="3"/>
  <c r="M10" i="3"/>
  <c r="B29" i="1"/>
  <c r="O9" i="3"/>
  <c r="C28" i="1"/>
  <c r="N5" i="3"/>
  <c r="L5" i="3"/>
  <c r="F24" i="1" s="1"/>
  <c r="N11" i="3"/>
  <c r="L11" i="3"/>
  <c r="F30" i="1" s="1"/>
  <c r="O7" i="3"/>
  <c r="C26" i="1"/>
  <c r="N3" i="3"/>
  <c r="L3" i="3"/>
  <c r="F22" i="1" s="1"/>
  <c r="I41" i="1"/>
  <c r="M11" i="3"/>
  <c r="B30" i="1"/>
  <c r="M3" i="3"/>
  <c r="B22" i="1"/>
  <c r="O10" i="3"/>
  <c r="C29" i="1"/>
  <c r="L6" i="3"/>
  <c r="F25" i="1" s="1"/>
  <c r="N6" i="3"/>
  <c r="C6" i="1"/>
  <c r="I45" i="1"/>
  <c r="O2" i="3"/>
  <c r="C21" i="1"/>
  <c r="M6" i="3"/>
  <c r="B25" i="1"/>
  <c r="E21" i="1"/>
  <c r="G6" i="1"/>
  <c r="C9" i="1" l="1"/>
</calcChain>
</file>

<file path=xl/sharedStrings.xml><?xml version="1.0" encoding="utf-8"?>
<sst xmlns="http://schemas.openxmlformats.org/spreadsheetml/2006/main" count="124" uniqueCount="99">
  <si>
    <t>SAFETY ACCIDENT &amp; LTI DASHBOARD</t>
  </si>
  <si>
    <t>Reporting Period: May 2026 – April 2027 | Enter data in 'Accident Tracker' only</t>
  </si>
  <si>
    <t>Dashboard KPI definitions are formula-driven; enter source data only in Accident Tracker.</t>
  </si>
  <si>
    <t>Total Accidents</t>
  </si>
  <si>
    <t>Total LTI</t>
  </si>
  <si>
    <t>Fatalities</t>
  </si>
  <si>
    <t>Man-days Lost</t>
  </si>
  <si>
    <t>Total Man-hours</t>
  </si>
  <si>
    <t>LTIFR</t>
  </si>
  <si>
    <t>Near Miss</t>
  </si>
  <si>
    <t>First Aid</t>
  </si>
  <si>
    <t>KEY RATES</t>
  </si>
  <si>
    <t>LTI Frequency Rate (LTIFR)</t>
  </si>
  <si>
    <t>Severity Rate</t>
  </si>
  <si>
    <t>LTI % of Accidents</t>
  </si>
  <si>
    <t>Near Miss / Accident</t>
  </si>
  <si>
    <t>MONTHLY SAFETY TREND</t>
  </si>
  <si>
    <t>Month</t>
  </si>
  <si>
    <t>Accidents</t>
  </si>
  <si>
    <t>LTI</t>
  </si>
  <si>
    <t>Type</t>
  </si>
  <si>
    <t>Count</t>
  </si>
  <si>
    <t>Major</t>
  </si>
  <si>
    <t>Minor</t>
  </si>
  <si>
    <t>Fatal</t>
  </si>
  <si>
    <t>Sr No</t>
  </si>
  <si>
    <t>Accident ID</t>
  </si>
  <si>
    <t>Date</t>
  </si>
  <si>
    <t>Employee Name</t>
  </si>
  <si>
    <t>Pay Code</t>
  </si>
  <si>
    <t>Department</t>
  </si>
  <si>
    <t>Section</t>
  </si>
  <si>
    <t>Designation</t>
  </si>
  <si>
    <t>Employment Type</t>
  </si>
  <si>
    <t>Contractor</t>
  </si>
  <si>
    <t>Accident Type</t>
  </si>
  <si>
    <t>Injury Type</t>
  </si>
  <si>
    <t>LTI (Y/N)</t>
  </si>
  <si>
    <t>Fatality (Y/N)</t>
  </si>
  <si>
    <t>First Aid (Y/N)</t>
  </si>
  <si>
    <t>Hospitalization (Y/N)</t>
  </si>
  <si>
    <t>Near Miss (Y/N)</t>
  </si>
  <si>
    <t>Man-hours Worked (Month)</t>
  </si>
  <si>
    <t>Lost Work Days</t>
  </si>
  <si>
    <t>Root Cause</t>
  </si>
  <si>
    <t>Corrective Action</t>
  </si>
  <si>
    <t>Responsible Person</t>
  </si>
  <si>
    <t>Target Date</t>
  </si>
  <si>
    <t>Closure Date</t>
  </si>
  <si>
    <t>Status</t>
  </si>
  <si>
    <t>Remarks</t>
  </si>
  <si>
    <t>Major Accidents</t>
  </si>
  <si>
    <t>Minor Accidents</t>
  </si>
  <si>
    <t>Hospitalization</t>
  </si>
  <si>
    <t>Man-hours Worked</t>
  </si>
  <si>
    <t>Accident Rate / 100 Workers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</si>
  <si>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</si>
  <si>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</si>
  <si>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</si>
  <si>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</si>
  <si>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</si>
  <si>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</si>
  <si>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</si>
  <si>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</si>
  <si>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</si>
  <si>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</si>
  <si>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</si>
  <si>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</si>
  <si>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How to use the Safety Accident Tracker</t>
  </si>
  <si>
    <t>1</t>
  </si>
  <si>
    <t>Enter one incident/accident per row in Accident Tracker.</t>
  </si>
  <si>
    <t>2</t>
  </si>
  <si>
    <t>Enter Date, employee, department, contractor, accident type and injury details.</t>
  </si>
  <si>
    <t>3</t>
  </si>
  <si>
    <t>Set LTI = Y only when the case meets your company's/statutory LTI definition.</t>
  </si>
  <si>
    <t>4</t>
  </si>
  <si>
    <t>Enter Man-days Lost and monthly Man-hours Worked for LTIFR/Severity calculations.</t>
  </si>
  <si>
    <t>5</t>
  </si>
  <si>
    <t>Enter root cause, corrective action, responsible person and target date.</t>
  </si>
  <si>
    <t>6</t>
  </si>
  <si>
    <t>Monthly KPI and Dashboard update from the tracker formulas.</t>
  </si>
  <si>
    <t>7</t>
  </si>
  <si>
    <t>LTIFR formula: LTI × 1,000,000 ÷ Man-hours Worked.</t>
  </si>
  <si>
    <t>8</t>
  </si>
  <si>
    <t>Severity Rate formula: Man-days Lost × 1,000,000 ÷ Man-hours Worked.</t>
  </si>
  <si>
    <t>9</t>
  </si>
  <si>
    <t>LTI % of Accidents = LTI ÷ Total Accidents.</t>
  </si>
  <si>
    <t>10</t>
  </si>
  <si>
    <t>Use the Dashboard for management review and monthly safety meetings.</t>
  </si>
  <si>
    <t>Note</t>
  </si>
  <si>
    <t>Definitions and reporting thresholds should follow your company's approved HSE/statutory methodology.</t>
  </si>
  <si>
    <t>Y</t>
  </si>
  <si>
    <t>xxxx</t>
  </si>
  <si>
    <t>HSD</t>
  </si>
  <si>
    <t>Helper</t>
  </si>
  <si>
    <t>Permanent</t>
  </si>
  <si>
    <t>N</t>
  </si>
  <si>
    <t>xx</t>
  </si>
  <si>
    <t>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</si>
</sst>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0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/>
    <xf numFmtId="0" fontId="0" fillId="0" borderId="0" xfId="0" applyAlignment="1">
      <alignment vertical="top" wrapText="1"/>
    </xf>
    <xf numFmtId="2" fontId="3" fillId="0" borderId="1" xfId="0" applyNumberFormat="1" applyFont="1" applyBorder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Accidents vs LTI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Dashboard!$B$20</c:f>
              <c:strCache>
                <c:ptCount val="1"/>
                <c:pt idx="0">
                  <c:v>Accidents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Dashboard!$A$21:$A$32</c:f>
              <c:strCache>
                <c:ptCount val="12"/>
                <c:pt idx="0">
                  <c:v>May-26</c:v>
                </c:pt>
                <c:pt idx="1">
                  <c:v>Jun-26</c:v>
                </c:pt>
                <c:pt idx="2">
                  <c:v>Jul-26</c:v>
                </c:pt>
                <c:pt idx="3">
                  <c:v>Aug-26</c:v>
                </c:pt>
                <c:pt idx="4">
                  <c:v>Sep-26</c:v>
                </c:pt>
                <c:pt idx="5">
                  <c:v>Oct-26</c:v>
                </c:pt>
                <c:pt idx="6">
                  <c:v>Nov-26</c:v>
                </c:pt>
                <c:pt idx="7">
                  <c:v>Dec-26</c:v>
                </c:pt>
                <c:pt idx="8">
                  <c:v>Jan-27</c:v>
                </c:pt>
                <c:pt idx="9">
                  <c:v>Feb-27</c:v>
                </c:pt>
                <c:pt idx="10">
                  <c:v>Mar-27</c:v>
                </c:pt>
                <c:pt idx="11">
                  <c:v>Apr-27</c:v>
                </c:pt>
              </c:strCache>
            </c:strRef>
          </c:cat>
          <c:val>
            <c:numRef>
              <c:f>Dashboard!$B$21:$B$32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2-4AB4-A6D2-FAD76F4F5C88}"/>
            </c:ext>
          </c:extLst>
        </c:ser>
        <c:ser>
          <c:idx val="1"/>
          <c:order val="1"/>
          <c:tx>
            <c:strRef>
              <c:f>Dashboard!$C$20</c:f>
              <c:strCache>
                <c:ptCount val="1"/>
                <c:pt idx="0">
                  <c:v>LTI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Dashboard!$A$21:$A$32</c:f>
              <c:strCache>
                <c:ptCount val="12"/>
                <c:pt idx="0">
                  <c:v>May-26</c:v>
                </c:pt>
                <c:pt idx="1">
                  <c:v>Jun-26</c:v>
                </c:pt>
                <c:pt idx="2">
                  <c:v>Jul-26</c:v>
                </c:pt>
                <c:pt idx="3">
                  <c:v>Aug-26</c:v>
                </c:pt>
                <c:pt idx="4">
                  <c:v>Sep-26</c:v>
                </c:pt>
                <c:pt idx="5">
                  <c:v>Oct-26</c:v>
                </c:pt>
                <c:pt idx="6">
                  <c:v>Nov-26</c:v>
                </c:pt>
                <c:pt idx="7">
                  <c:v>Dec-26</c:v>
                </c:pt>
                <c:pt idx="8">
                  <c:v>Jan-27</c:v>
                </c:pt>
                <c:pt idx="9">
                  <c:v>Feb-27</c:v>
                </c:pt>
                <c:pt idx="10">
                  <c:v>Mar-27</c:v>
                </c:pt>
                <c:pt idx="11">
                  <c:v>Apr-27</c:v>
                </c:pt>
              </c:strCache>
            </c:strRef>
          </c:cat>
          <c:val>
            <c:numRef>
              <c:f>Dashboard!$C$21:$C$32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2-4AB4-A6D2-FAD76F4F5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LTIFR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Dashboard!$F$20</c:f>
              <c:strCache>
                <c:ptCount val="1"/>
                <c:pt idx="0">
                  <c:v>LTIFR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Dashboard!$A$21:$A$32</c:f>
              <c:strCache>
                <c:ptCount val="12"/>
                <c:pt idx="0">
                  <c:v>May-26</c:v>
                </c:pt>
                <c:pt idx="1">
                  <c:v>Jun-26</c:v>
                </c:pt>
                <c:pt idx="2">
                  <c:v>Jul-26</c:v>
                </c:pt>
                <c:pt idx="3">
                  <c:v>Aug-26</c:v>
                </c:pt>
                <c:pt idx="4">
                  <c:v>Sep-26</c:v>
                </c:pt>
                <c:pt idx="5">
                  <c:v>Oct-26</c:v>
                </c:pt>
                <c:pt idx="6">
                  <c:v>Nov-26</c:v>
                </c:pt>
                <c:pt idx="7">
                  <c:v>Dec-26</c:v>
                </c:pt>
                <c:pt idx="8">
                  <c:v>Jan-27</c:v>
                </c:pt>
                <c:pt idx="9">
                  <c:v>Feb-27</c:v>
                </c:pt>
                <c:pt idx="10">
                  <c:v>Mar-27</c:v>
                </c:pt>
                <c:pt idx="11">
                  <c:v>Apr-27</c:v>
                </c:pt>
              </c:strCache>
            </c:strRef>
          </c:cat>
          <c:val>
            <c:numRef>
              <c:f>Dashboard!$F$21:$F$32</c:f>
              <c:numCache>
                <c:formatCode>General</c:formatCode>
                <c:ptCount val="12"/>
                <c:pt idx="0">
                  <c:v>250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19-4043-9E3F-A2F9A97E4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LTIFR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Accident / Incident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Dashboard!$I$40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Dashboard!$H$41:$H$46</c:f>
              <c:strCache>
                <c:ptCount val="6"/>
                <c:pt idx="0">
                  <c:v>Major</c:v>
                </c:pt>
                <c:pt idx="1">
                  <c:v>Minor</c:v>
                </c:pt>
                <c:pt idx="2">
                  <c:v>Near Miss</c:v>
                </c:pt>
                <c:pt idx="3">
                  <c:v>First Aid</c:v>
                </c:pt>
                <c:pt idx="4">
                  <c:v>LTI</c:v>
                </c:pt>
                <c:pt idx="5">
                  <c:v>Fatal</c:v>
                </c:pt>
              </c:strCache>
            </c:strRef>
          </c:cat>
          <c:val>
            <c:numRef>
              <c:f>Dashboard!$I$41:$I$46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9-429D-B414-44281242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601980</xdr:colOff>
      <xdr:row>3</xdr:row>
      <xdr:rowOff>60960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38</xdr:row>
      <xdr:rowOff>0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showGridLines="0" tabSelected="1" topLeftCell="A13" workbookViewId="0">
      <selection activeCell="F21" sqref="F21"/>
    </sheetView>
  </sheetViews>
  <sheetFormatPr defaultRowHeight="14.4" x14ac:dyDescent="0.3"/>
  <cols>
    <col min="1" max="1" width="28" customWidth="1"/>
    <col min="2" max="15" width="15" customWidth="1"/>
  </cols>
  <sheetData>
    <row r="1" spans="1:8" ht="25.8" x14ac:dyDescent="0.5">
      <c r="A1" s="16" t="s">
        <v>0</v>
      </c>
      <c r="B1" s="11"/>
      <c r="C1" s="11"/>
      <c r="D1" s="11"/>
      <c r="E1" s="11"/>
      <c r="F1" s="11"/>
      <c r="G1" s="11"/>
      <c r="H1" s="11"/>
    </row>
    <row r="2" spans="1:8" x14ac:dyDescent="0.3">
      <c r="A2" s="14" t="s">
        <v>1</v>
      </c>
      <c r="B2" s="11"/>
      <c r="C2" s="11"/>
      <c r="D2" s="11"/>
      <c r="E2" s="11"/>
      <c r="F2" s="11"/>
      <c r="G2" s="11"/>
      <c r="H2" s="11"/>
    </row>
    <row r="3" spans="1:8" x14ac:dyDescent="0.3">
      <c r="A3" s="13" t="s">
        <v>2</v>
      </c>
      <c r="B3" s="11"/>
      <c r="C3" s="11"/>
      <c r="D3" s="11"/>
      <c r="E3" s="11"/>
      <c r="F3" s="11"/>
      <c r="G3" s="11"/>
      <c r="H3" s="11"/>
    </row>
    <row r="5" spans="1:8" x14ac:dyDescent="0.3">
      <c r="A5" s="15" t="s">
        <v>3</v>
      </c>
      <c r="B5" s="11"/>
      <c r="C5" s="15" t="s">
        <v>4</v>
      </c>
      <c r="D5" s="11"/>
      <c r="E5" s="15" t="s">
        <v>5</v>
      </c>
      <c r="F5" s="11"/>
      <c r="G5" s="15" t="s">
        <v>6</v>
      </c>
      <c r="H5" s="11"/>
    </row>
    <row r="6" spans="1:8" ht="21" x14ac:dyDescent="0.4">
      <c r="A6" s="12">
        <f>SUM('Monthly KPI'!B2:B13)</f>
        <v>1</v>
      </c>
      <c r="B6" s="11"/>
      <c r="C6" s="12">
        <f>SUM('Monthly KPI'!C2:C13)</f>
        <v>1</v>
      </c>
      <c r="D6" s="11"/>
      <c r="E6" s="12">
        <f>SUM('Monthly KPI'!D2:D13)</f>
        <v>0</v>
      </c>
      <c r="F6" s="11"/>
      <c r="G6" s="12">
        <f>SUM('Monthly KPI'!J2:J13)</f>
        <v>20</v>
      </c>
      <c r="H6" s="11"/>
    </row>
    <row r="8" spans="1:8" x14ac:dyDescent="0.3">
      <c r="A8" s="15" t="s">
        <v>7</v>
      </c>
      <c r="B8" s="11"/>
      <c r="C8" s="15" t="s">
        <v>8</v>
      </c>
      <c r="D8" s="11"/>
      <c r="E8" s="15" t="s">
        <v>9</v>
      </c>
      <c r="F8" s="11"/>
      <c r="G8" s="15" t="s">
        <v>10</v>
      </c>
      <c r="H8" s="11"/>
    </row>
    <row r="9" spans="1:8" ht="21" x14ac:dyDescent="0.4">
      <c r="A9" s="12">
        <f>SUM('Monthly KPI'!K2:K13)</f>
        <v>4000</v>
      </c>
      <c r="B9" s="11"/>
      <c r="C9" s="10">
        <f>IF(A9=0,0,C6*1000000/A9)</f>
        <v>250</v>
      </c>
      <c r="D9" s="11"/>
      <c r="E9" s="12">
        <f>SUM('Monthly KPI'!G2:G13)</f>
        <v>1</v>
      </c>
      <c r="F9" s="11"/>
      <c r="G9" s="12">
        <f>SUM('Monthly KPI'!H2:H13)</f>
        <v>1</v>
      </c>
      <c r="H9" s="11"/>
    </row>
    <row r="12" spans="1:8" ht="18" x14ac:dyDescent="0.35">
      <c r="A12" s="1" t="s">
        <v>11</v>
      </c>
    </row>
    <row r="13" spans="1:8" x14ac:dyDescent="0.3">
      <c r="A13" s="2" t="s">
        <v>12</v>
      </c>
      <c r="B13" s="2">
        <f>IF(B9=0,0,C7*1000000/B9)</f>
        <v>0</v>
      </c>
    </row>
    <row r="14" spans="1:8" x14ac:dyDescent="0.3">
      <c r="A14" s="2" t="s">
        <v>13</v>
      </c>
      <c r="B14" s="2">
        <f>IF(B9=0,0,G7*1000000/B9)</f>
        <v>0</v>
      </c>
    </row>
    <row r="15" spans="1:8" x14ac:dyDescent="0.3">
      <c r="A15" s="2" t="s">
        <v>14</v>
      </c>
      <c r="B15" s="3">
        <f>IFERROR(C7/B7,0)</f>
        <v>0</v>
      </c>
    </row>
    <row r="16" spans="1:8" x14ac:dyDescent="0.3">
      <c r="A16" s="2" t="s">
        <v>15</v>
      </c>
      <c r="B16" s="4">
        <f>IFERROR(G9/B7,0)</f>
        <v>0</v>
      </c>
    </row>
    <row r="19" spans="1:6" ht="18" x14ac:dyDescent="0.35">
      <c r="A19" s="1" t="s">
        <v>16</v>
      </c>
    </row>
    <row r="20" spans="1:6" x14ac:dyDescent="0.3">
      <c r="A20" s="5" t="s">
        <v>17</v>
      </c>
      <c r="B20" s="5" t="s">
        <v>18</v>
      </c>
      <c r="C20" s="5" t="s">
        <v>19</v>
      </c>
      <c r="D20" s="5" t="s">
        <v>5</v>
      </c>
      <c r="E20" s="5" t="s">
        <v>6</v>
      </c>
      <c r="F20" s="5" t="s">
        <v>8</v>
      </c>
    </row>
    <row r="21" spans="1:6" x14ac:dyDescent="0.3">
      <c r="A21" s="2" t="str">
        <f>'Monthly KPI'!A2</f>
        <v>May-26</v>
      </c>
      <c r="B21" s="2">
        <f>'Monthly KPI'!B2</f>
        <v>1</v>
      </c>
      <c r="C21" s="2">
        <f>'Monthly KPI'!C2</f>
        <v>1</v>
      </c>
      <c r="D21" s="2">
        <f>'Monthly KPI'!D2</f>
        <v>0</v>
      </c>
      <c r="E21" s="2">
        <f>'Monthly KPI'!J2</f>
        <v>20</v>
      </c>
      <c r="F21" s="2">
        <f>'Monthly KPI'!L2</f>
        <v>250</v>
      </c>
    </row>
    <row r="22" spans="1:6" x14ac:dyDescent="0.3">
      <c r="A22" s="2" t="str">
        <f>'Monthly KPI'!A3</f>
        <v>Jun-26</v>
      </c>
      <c r="B22" s="2">
        <f>'Monthly KPI'!B3</f>
        <v>0</v>
      </c>
      <c r="C22" s="2">
        <f>'Monthly KPI'!C3</f>
        <v>0</v>
      </c>
      <c r="D22" s="2">
        <f>'Monthly KPI'!D3</f>
        <v>0</v>
      </c>
      <c r="E22" s="2">
        <f>'Monthly KPI'!J3</f>
        <v>0</v>
      </c>
      <c r="F22" s="2">
        <f>'Monthly KPI'!L3</f>
        <v>0</v>
      </c>
    </row>
    <row r="23" spans="1:6" x14ac:dyDescent="0.3">
      <c r="A23" s="2" t="str">
        <f>'Monthly KPI'!A4</f>
        <v>Jul-26</v>
      </c>
      <c r="B23" s="2">
        <f>'Monthly KPI'!B4</f>
        <v>0</v>
      </c>
      <c r="C23" s="2">
        <f>'Monthly KPI'!C4</f>
        <v>0</v>
      </c>
      <c r="D23" s="2">
        <f>'Monthly KPI'!D4</f>
        <v>0</v>
      </c>
      <c r="E23" s="2">
        <f>'Monthly KPI'!J4</f>
        <v>0</v>
      </c>
      <c r="F23" s="2">
        <f>'Monthly KPI'!L4</f>
        <v>0</v>
      </c>
    </row>
    <row r="24" spans="1:6" x14ac:dyDescent="0.3">
      <c r="A24" s="2" t="str">
        <f>'Monthly KPI'!A5</f>
        <v>Aug-26</v>
      </c>
      <c r="B24" s="2">
        <f>'Monthly KPI'!B5</f>
        <v>0</v>
      </c>
      <c r="C24" s="2">
        <f>'Monthly KPI'!C5</f>
        <v>0</v>
      </c>
      <c r="D24" s="2">
        <f>'Monthly KPI'!D5</f>
        <v>0</v>
      </c>
      <c r="E24" s="2">
        <f>'Monthly KPI'!J5</f>
        <v>0</v>
      </c>
      <c r="F24" s="2">
        <f>'Monthly KPI'!L5</f>
        <v>0</v>
      </c>
    </row>
    <row r="25" spans="1:6" x14ac:dyDescent="0.3">
      <c r="A25" s="2" t="str">
        <f>'Monthly KPI'!A6</f>
        <v>Sep-26</v>
      </c>
      <c r="B25" s="2">
        <f>'Monthly KPI'!B6</f>
        <v>0</v>
      </c>
      <c r="C25" s="2">
        <f>'Monthly KPI'!C6</f>
        <v>0</v>
      </c>
      <c r="D25" s="2">
        <f>'Monthly KPI'!D6</f>
        <v>0</v>
      </c>
      <c r="E25" s="2">
        <f>'Monthly KPI'!J6</f>
        <v>0</v>
      </c>
      <c r="F25" s="2">
        <f>'Monthly KPI'!L6</f>
        <v>0</v>
      </c>
    </row>
    <row r="26" spans="1:6" x14ac:dyDescent="0.3">
      <c r="A26" s="2" t="str">
        <f>'Monthly KPI'!A7</f>
        <v>Oct-26</v>
      </c>
      <c r="B26" s="2">
        <f>'Monthly KPI'!B7</f>
        <v>0</v>
      </c>
      <c r="C26" s="2">
        <f>'Monthly KPI'!C7</f>
        <v>0</v>
      </c>
      <c r="D26" s="2">
        <f>'Monthly KPI'!D7</f>
        <v>0</v>
      </c>
      <c r="E26" s="2">
        <f>'Monthly KPI'!J7</f>
        <v>0</v>
      </c>
      <c r="F26" s="2">
        <f>'Monthly KPI'!L7</f>
        <v>0</v>
      </c>
    </row>
    <row r="27" spans="1:6" x14ac:dyDescent="0.3">
      <c r="A27" s="2" t="str">
        <f>'Monthly KPI'!A8</f>
        <v>Nov-26</v>
      </c>
      <c r="B27" s="2">
        <f>'Monthly KPI'!B8</f>
        <v>0</v>
      </c>
      <c r="C27" s="2">
        <f>'Monthly KPI'!C8</f>
        <v>0</v>
      </c>
      <c r="D27" s="2">
        <f>'Monthly KPI'!D8</f>
        <v>0</v>
      </c>
      <c r="E27" s="2">
        <f>'Monthly KPI'!J8</f>
        <v>0</v>
      </c>
      <c r="F27" s="2">
        <f>'Monthly KPI'!L8</f>
        <v>0</v>
      </c>
    </row>
    <row r="28" spans="1:6" x14ac:dyDescent="0.3">
      <c r="A28" s="2" t="str">
        <f>'Monthly KPI'!A9</f>
        <v>Dec-26</v>
      </c>
      <c r="B28" s="2">
        <f>'Monthly KPI'!B9</f>
        <v>0</v>
      </c>
      <c r="C28" s="2">
        <f>'Monthly KPI'!C9</f>
        <v>0</v>
      </c>
      <c r="D28" s="2">
        <f>'Monthly KPI'!D9</f>
        <v>0</v>
      </c>
      <c r="E28" s="2">
        <f>'Monthly KPI'!J9</f>
        <v>0</v>
      </c>
      <c r="F28" s="2">
        <f>'Monthly KPI'!L9</f>
        <v>0</v>
      </c>
    </row>
    <row r="29" spans="1:6" x14ac:dyDescent="0.3">
      <c r="A29" s="2" t="str">
        <f>'Monthly KPI'!A10</f>
        <v>Jan-27</v>
      </c>
      <c r="B29" s="2">
        <f>'Monthly KPI'!B10</f>
        <v>0</v>
      </c>
      <c r="C29" s="2">
        <f>'Monthly KPI'!C10</f>
        <v>0</v>
      </c>
      <c r="D29" s="2">
        <f>'Monthly KPI'!D10</f>
        <v>0</v>
      </c>
      <c r="E29" s="2">
        <f>'Monthly KPI'!J10</f>
        <v>0</v>
      </c>
      <c r="F29" s="2">
        <f>'Monthly KPI'!L10</f>
        <v>0</v>
      </c>
    </row>
    <row r="30" spans="1:6" x14ac:dyDescent="0.3">
      <c r="A30" s="2" t="str">
        <f>'Monthly KPI'!A11</f>
        <v>Feb-27</v>
      </c>
      <c r="B30" s="2">
        <f>'Monthly KPI'!B11</f>
        <v>0</v>
      </c>
      <c r="C30" s="2">
        <f>'Monthly KPI'!C11</f>
        <v>0</v>
      </c>
      <c r="D30" s="2">
        <f>'Monthly KPI'!D11</f>
        <v>0</v>
      </c>
      <c r="E30" s="2">
        <f>'Monthly KPI'!J11</f>
        <v>0</v>
      </c>
      <c r="F30" s="2">
        <f>'Monthly KPI'!L11</f>
        <v>0</v>
      </c>
    </row>
    <row r="31" spans="1:6" x14ac:dyDescent="0.3">
      <c r="A31" s="2" t="str">
        <f>'Monthly KPI'!A12</f>
        <v>Mar-27</v>
      </c>
      <c r="B31" s="2">
        <f>'Monthly KPI'!B12</f>
        <v>0</v>
      </c>
      <c r="C31" s="2">
        <f>'Monthly KPI'!C12</f>
        <v>0</v>
      </c>
      <c r="D31" s="2">
        <f>'Monthly KPI'!D12</f>
        <v>0</v>
      </c>
      <c r="E31" s="2">
        <f>'Monthly KPI'!J12</f>
        <v>0</v>
      </c>
      <c r="F31" s="2">
        <f>'Monthly KPI'!L12</f>
        <v>0</v>
      </c>
    </row>
    <row r="32" spans="1:6" x14ac:dyDescent="0.3">
      <c r="A32" s="2" t="str">
        <f>'Monthly KPI'!A13</f>
        <v>Apr-27</v>
      </c>
      <c r="B32" s="2">
        <f>'Monthly KPI'!B13</f>
        <v>0</v>
      </c>
      <c r="C32" s="2">
        <f>'Monthly KPI'!C13</f>
        <v>0</v>
      </c>
      <c r="D32" s="2">
        <f>'Monthly KPI'!D13</f>
        <v>0</v>
      </c>
      <c r="E32" s="2">
        <f>'Monthly KPI'!J13</f>
        <v>0</v>
      </c>
      <c r="F32" s="2">
        <f>'Monthly KPI'!L13</f>
        <v>0</v>
      </c>
    </row>
    <row r="40" spans="8:9" x14ac:dyDescent="0.3">
      <c r="H40" s="2" t="s">
        <v>20</v>
      </c>
      <c r="I40" s="2" t="s">
        <v>21</v>
      </c>
    </row>
    <row r="41" spans="8:9" x14ac:dyDescent="0.3">
      <c r="H41" s="2" t="s">
        <v>22</v>
      </c>
      <c r="I41" s="2">
        <f>SUM('Monthly KPI'!E2:E13)</f>
        <v>0</v>
      </c>
    </row>
    <row r="42" spans="8:9" x14ac:dyDescent="0.3">
      <c r="H42" s="2" t="s">
        <v>23</v>
      </c>
      <c r="I42" s="2">
        <f>SUM('Monthly KPI'!F2:F13)</f>
        <v>1</v>
      </c>
    </row>
    <row r="43" spans="8:9" x14ac:dyDescent="0.3">
      <c r="H43" s="2" t="s">
        <v>9</v>
      </c>
      <c r="I43" s="2">
        <f>SUM('Monthly KPI'!G2:G13)</f>
        <v>1</v>
      </c>
    </row>
    <row r="44" spans="8:9" x14ac:dyDescent="0.3">
      <c r="H44" s="2" t="s">
        <v>10</v>
      </c>
      <c r="I44" s="2">
        <f>SUM('Monthly KPI'!H2:H13)</f>
        <v>1</v>
      </c>
    </row>
    <row r="45" spans="8:9" x14ac:dyDescent="0.3">
      <c r="H45" s="2" t="s">
        <v>19</v>
      </c>
      <c r="I45" s="2">
        <f>SUM('Monthly KPI'!C2:C13)</f>
        <v>1</v>
      </c>
    </row>
    <row r="46" spans="8:9" x14ac:dyDescent="0.3">
      <c r="H46" s="2" t="s">
        <v>24</v>
      </c>
      <c r="I46" s="2">
        <f>SUM('Monthly KPI'!D2:D13)</f>
        <v>0</v>
      </c>
    </row>
  </sheetData>
  <mergeCells count="19">
    <mergeCell ref="A1:H1"/>
    <mergeCell ref="G8:H8"/>
    <mergeCell ref="E8:F8"/>
    <mergeCell ref="A6:B6"/>
    <mergeCell ref="G6:H6"/>
    <mergeCell ref="C9:D9"/>
    <mergeCell ref="E9:F9"/>
    <mergeCell ref="A3:H3"/>
    <mergeCell ref="E6:F6"/>
    <mergeCell ref="A2:H2"/>
    <mergeCell ref="A5:B5"/>
    <mergeCell ref="G5:H5"/>
    <mergeCell ref="A8:B8"/>
    <mergeCell ref="C8:D8"/>
    <mergeCell ref="A9:B9"/>
    <mergeCell ref="G9:H9"/>
    <mergeCell ref="C6:D6"/>
    <mergeCell ref="C5:D5"/>
    <mergeCell ref="E5:F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01"/>
  <sheetViews>
    <sheetView showGridLines="0" topLeftCell="I1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8" customWidth="1"/>
    <col min="2" max="2" width="14" customWidth="1"/>
    <col min="3" max="3" width="13" customWidth="1"/>
    <col min="4" max="4" width="11" customWidth="1"/>
    <col min="5" max="5" width="20" customWidth="1"/>
    <col min="6" max="6" width="12" customWidth="1"/>
    <col min="7" max="10" width="18" customWidth="1"/>
    <col min="11" max="11" width="20" customWidth="1"/>
    <col min="12" max="13" width="18" customWidth="1"/>
    <col min="14" max="14" width="12" customWidth="1"/>
    <col min="15" max="15" width="14" customWidth="1"/>
    <col min="16" max="16" width="15" customWidth="1"/>
    <col min="17" max="17" width="20" customWidth="1"/>
    <col min="18" max="18" width="14" customWidth="1"/>
    <col min="19" max="19" width="15" customWidth="1"/>
    <col min="20" max="20" width="22" customWidth="1"/>
    <col min="21" max="21" width="15" customWidth="1"/>
    <col min="22" max="22" width="25" customWidth="1"/>
    <col min="23" max="23" width="30" customWidth="1"/>
    <col min="24" max="24" width="20" customWidth="1"/>
    <col min="25" max="27" width="14" customWidth="1"/>
    <col min="28" max="28" width="30" customWidth="1"/>
  </cols>
  <sheetData>
    <row r="1" spans="1:28" ht="36" customHeight="1" x14ac:dyDescent="0.3">
      <c r="A1" s="6" t="s">
        <v>25</v>
      </c>
      <c r="B1" s="6" t="s">
        <v>26</v>
      </c>
      <c r="C1" s="6" t="s">
        <v>27</v>
      </c>
      <c r="D1" s="6" t="s">
        <v>17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6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</row>
    <row r="2" spans="1:28" x14ac:dyDescent="0.3">
      <c r="A2" s="2">
        <f t="shared" ref="A2:A65" si="0">IF(C2="","",ROW()-1)</f>
        <v>1</v>
      </c>
      <c r="B2" s="2">
        <v>1</v>
      </c>
      <c r="C2" s="17">
        <v>46150</v>
      </c>
      <c r="D2" s="2" t="str">
        <f t="shared" ref="D2:D65" si="1">IF(C2="","",TEXT(C2,"mmm-yy"))</f>
        <v>May-26</v>
      </c>
      <c r="E2" s="2" t="s">
        <v>92</v>
      </c>
      <c r="F2" s="2">
        <v>2</v>
      </c>
      <c r="G2" s="2" t="s">
        <v>93</v>
      </c>
      <c r="H2" s="2" t="s">
        <v>93</v>
      </c>
      <c r="I2" s="2" t="s">
        <v>94</v>
      </c>
      <c r="J2" s="2" t="s">
        <v>95</v>
      </c>
      <c r="K2" s="2"/>
      <c r="L2" s="2" t="s">
        <v>23</v>
      </c>
      <c r="M2" s="2" t="s">
        <v>23</v>
      </c>
      <c r="N2" s="2" t="s">
        <v>91</v>
      </c>
      <c r="O2" s="2" t="s">
        <v>96</v>
      </c>
      <c r="P2" s="2" t="s">
        <v>91</v>
      </c>
      <c r="Q2" s="2" t="s">
        <v>96</v>
      </c>
      <c r="R2" s="2" t="s">
        <v>91</v>
      </c>
      <c r="S2" s="2">
        <v>20</v>
      </c>
      <c r="T2" s="2">
        <v>4000</v>
      </c>
      <c r="U2" s="2">
        <f t="shared" ref="U2:U65" si="2">IF(OR(N2="Y",N2="Yes"),S2,"")</f>
        <v>20</v>
      </c>
      <c r="V2" s="2" t="s">
        <v>97</v>
      </c>
      <c r="W2" s="2" t="s">
        <v>98</v>
      </c>
      <c r="X2" s="2" t="s">
        <v>97</v>
      </c>
      <c r="Y2" s="17">
        <v>46030</v>
      </c>
      <c r="Z2" s="17">
        <v>46047</v>
      </c>
      <c r="AA2" s="2" t="str">
        <f t="shared" ref="AA2:AA65" ca="1" si="3">IF(C2="","",IF(Z2&lt;&gt;"","Closed",IF(Y2&lt;TODAY(),"Overdue","Open")))</f>
        <v>Closed</v>
      </c>
      <c r="AB2" s="2"/>
    </row>
    <row r="3" spans="1:28" x14ac:dyDescent="0.3">
      <c r="A3" s="2" t="str">
        <f t="shared" si="0"/>
        <v/>
      </c>
      <c r="B3" s="2"/>
      <c r="C3" s="17"/>
      <c r="D3" s="2" t="str">
        <f t="shared" si="1"/>
        <v/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tr">
        <f t="shared" si="2"/>
        <v/>
      </c>
      <c r="V3" s="2"/>
      <c r="W3" s="2"/>
      <c r="X3" s="2"/>
      <c r="Y3" s="17"/>
      <c r="Z3" s="17"/>
      <c r="AA3" s="2" t="str">
        <f t="shared" ca="1" si="3"/>
        <v/>
      </c>
      <c r="AB3" s="2"/>
    </row>
    <row r="4" spans="1:28" x14ac:dyDescent="0.3">
      <c r="A4" s="2" t="str">
        <f t="shared" si="0"/>
        <v/>
      </c>
      <c r="B4" s="2"/>
      <c r="C4" s="17"/>
      <c r="D4" s="2" t="str">
        <f t="shared" si="1"/>
        <v/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tr">
        <f t="shared" si="2"/>
        <v/>
      </c>
      <c r="V4" s="2"/>
      <c r="W4" s="2"/>
      <c r="X4" s="2"/>
      <c r="Y4" s="17"/>
      <c r="Z4" s="17"/>
      <c r="AA4" s="2" t="str">
        <f t="shared" ca="1" si="3"/>
        <v/>
      </c>
      <c r="AB4" s="2"/>
    </row>
    <row r="5" spans="1:28" x14ac:dyDescent="0.3">
      <c r="A5" s="2" t="str">
        <f t="shared" si="0"/>
        <v/>
      </c>
      <c r="B5" s="2"/>
      <c r="C5" s="17"/>
      <c r="D5" s="2" t="str">
        <f t="shared" si="1"/>
        <v/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tr">
        <f t="shared" si="2"/>
        <v/>
      </c>
      <c r="V5" s="2"/>
      <c r="W5" s="2"/>
      <c r="X5" s="2"/>
      <c r="Y5" s="17"/>
      <c r="Z5" s="17"/>
      <c r="AA5" s="2" t="str">
        <f t="shared" ca="1" si="3"/>
        <v/>
      </c>
      <c r="AB5" s="2"/>
    </row>
    <row r="6" spans="1:28" x14ac:dyDescent="0.3">
      <c r="A6" s="2" t="str">
        <f t="shared" si="0"/>
        <v/>
      </c>
      <c r="B6" s="2"/>
      <c r="C6" s="17"/>
      <c r="D6" s="2" t="str">
        <f t="shared" si="1"/>
        <v/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tr">
        <f t="shared" si="2"/>
        <v/>
      </c>
      <c r="V6" s="2"/>
      <c r="W6" s="2"/>
      <c r="X6" s="2"/>
      <c r="Y6" s="17"/>
      <c r="Z6" s="17"/>
      <c r="AA6" s="2" t="str">
        <f t="shared" ca="1" si="3"/>
        <v/>
      </c>
      <c r="AB6" s="2"/>
    </row>
    <row r="7" spans="1:28" x14ac:dyDescent="0.3">
      <c r="A7" s="2" t="str">
        <f t="shared" si="0"/>
        <v/>
      </c>
      <c r="B7" s="2"/>
      <c r="C7" s="17"/>
      <c r="D7" s="2" t="str">
        <f t="shared" si="1"/>
        <v/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tr">
        <f t="shared" si="2"/>
        <v/>
      </c>
      <c r="V7" s="2"/>
      <c r="W7" s="2"/>
      <c r="X7" s="2"/>
      <c r="Y7" s="17"/>
      <c r="Z7" s="17"/>
      <c r="AA7" s="2" t="str">
        <f t="shared" ca="1" si="3"/>
        <v/>
      </c>
      <c r="AB7" s="2"/>
    </row>
    <row r="8" spans="1:28" x14ac:dyDescent="0.3">
      <c r="A8" s="2" t="str">
        <f t="shared" si="0"/>
        <v/>
      </c>
      <c r="B8" s="2"/>
      <c r="C8" s="17"/>
      <c r="D8" s="2" t="str">
        <f t="shared" si="1"/>
        <v/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tr">
        <f t="shared" si="2"/>
        <v/>
      </c>
      <c r="V8" s="2"/>
      <c r="W8" s="2"/>
      <c r="X8" s="2"/>
      <c r="Y8" s="17"/>
      <c r="Z8" s="17"/>
      <c r="AA8" s="2" t="str">
        <f t="shared" ca="1" si="3"/>
        <v/>
      </c>
      <c r="AB8" s="2"/>
    </row>
    <row r="9" spans="1:28" x14ac:dyDescent="0.3">
      <c r="A9" s="2" t="str">
        <f t="shared" si="0"/>
        <v/>
      </c>
      <c r="B9" s="2"/>
      <c r="C9" s="17"/>
      <c r="D9" s="2" t="str">
        <f t="shared" si="1"/>
        <v/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tr">
        <f t="shared" si="2"/>
        <v/>
      </c>
      <c r="V9" s="2"/>
      <c r="W9" s="2"/>
      <c r="X9" s="2"/>
      <c r="Y9" s="17"/>
      <c r="Z9" s="17"/>
      <c r="AA9" s="2" t="str">
        <f t="shared" ca="1" si="3"/>
        <v/>
      </c>
      <c r="AB9" s="2"/>
    </row>
    <row r="10" spans="1:28" x14ac:dyDescent="0.3">
      <c r="A10" s="2" t="str">
        <f t="shared" si="0"/>
        <v/>
      </c>
      <c r="B10" s="2"/>
      <c r="C10" s="17"/>
      <c r="D10" s="2" t="str">
        <f t="shared" si="1"/>
        <v/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tr">
        <f t="shared" si="2"/>
        <v/>
      </c>
      <c r="V10" s="2"/>
      <c r="W10" s="2"/>
      <c r="X10" s="2"/>
      <c r="Y10" s="17"/>
      <c r="Z10" s="17"/>
      <c r="AA10" s="2" t="str">
        <f t="shared" ca="1" si="3"/>
        <v/>
      </c>
      <c r="AB10" s="2"/>
    </row>
    <row r="11" spans="1:28" x14ac:dyDescent="0.3">
      <c r="A11" s="2" t="str">
        <f t="shared" si="0"/>
        <v/>
      </c>
      <c r="B11" s="2"/>
      <c r="C11" s="17"/>
      <c r="D11" s="2" t="str">
        <f t="shared" si="1"/>
        <v/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tr">
        <f t="shared" si="2"/>
        <v/>
      </c>
      <c r="V11" s="2"/>
      <c r="W11" s="2"/>
      <c r="X11" s="2"/>
      <c r="Y11" s="17"/>
      <c r="Z11" s="17"/>
      <c r="AA11" s="2" t="str">
        <f t="shared" ca="1" si="3"/>
        <v/>
      </c>
      <c r="AB11" s="2"/>
    </row>
    <row r="12" spans="1:28" x14ac:dyDescent="0.3">
      <c r="A12" s="2" t="str">
        <f t="shared" si="0"/>
        <v/>
      </c>
      <c r="B12" s="2"/>
      <c r="C12" s="17"/>
      <c r="D12" s="2" t="str">
        <f t="shared" si="1"/>
        <v/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tr">
        <f t="shared" si="2"/>
        <v/>
      </c>
      <c r="V12" s="2"/>
      <c r="W12" s="2"/>
      <c r="X12" s="2"/>
      <c r="Y12" s="17"/>
      <c r="Z12" s="17"/>
      <c r="AA12" s="2" t="str">
        <f t="shared" ca="1" si="3"/>
        <v/>
      </c>
      <c r="AB12" s="2"/>
    </row>
    <row r="13" spans="1:28" x14ac:dyDescent="0.3">
      <c r="A13" s="2" t="str">
        <f t="shared" si="0"/>
        <v/>
      </c>
      <c r="B13" s="2"/>
      <c r="C13" s="17"/>
      <c r="D13" s="2" t="str">
        <f t="shared" si="1"/>
        <v/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tr">
        <f t="shared" si="2"/>
        <v/>
      </c>
      <c r="V13" s="2"/>
      <c r="W13" s="2"/>
      <c r="X13" s="2"/>
      <c r="Y13" s="17"/>
      <c r="Z13" s="17"/>
      <c r="AA13" s="2" t="str">
        <f t="shared" ca="1" si="3"/>
        <v/>
      </c>
      <c r="AB13" s="2"/>
    </row>
    <row r="14" spans="1:28" x14ac:dyDescent="0.3">
      <c r="A14" s="2" t="str">
        <f t="shared" si="0"/>
        <v/>
      </c>
      <c r="B14" s="2"/>
      <c r="C14" s="17"/>
      <c r="D14" s="2" t="str">
        <f t="shared" si="1"/>
        <v/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tr">
        <f t="shared" si="2"/>
        <v/>
      </c>
      <c r="V14" s="2"/>
      <c r="W14" s="2"/>
      <c r="X14" s="2"/>
      <c r="Y14" s="17"/>
      <c r="Z14" s="17"/>
      <c r="AA14" s="2" t="str">
        <f t="shared" ca="1" si="3"/>
        <v/>
      </c>
      <c r="AB14" s="2"/>
    </row>
    <row r="15" spans="1:28" x14ac:dyDescent="0.3">
      <c r="A15" s="2" t="str">
        <f t="shared" si="0"/>
        <v/>
      </c>
      <c r="B15" s="2"/>
      <c r="C15" s="17"/>
      <c r="D15" s="2" t="str">
        <f t="shared" si="1"/>
        <v/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tr">
        <f t="shared" si="2"/>
        <v/>
      </c>
      <c r="V15" s="2"/>
      <c r="W15" s="2"/>
      <c r="X15" s="2"/>
      <c r="Y15" s="17"/>
      <c r="Z15" s="17"/>
      <c r="AA15" s="2" t="str">
        <f t="shared" ca="1" si="3"/>
        <v/>
      </c>
      <c r="AB15" s="2"/>
    </row>
    <row r="16" spans="1:28" x14ac:dyDescent="0.3">
      <c r="A16" s="2" t="str">
        <f t="shared" si="0"/>
        <v/>
      </c>
      <c r="B16" s="2"/>
      <c r="C16" s="17"/>
      <c r="D16" s="2" t="str">
        <f t="shared" si="1"/>
        <v/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tr">
        <f t="shared" si="2"/>
        <v/>
      </c>
      <c r="V16" s="2"/>
      <c r="W16" s="2"/>
      <c r="X16" s="2"/>
      <c r="Y16" s="17"/>
      <c r="Z16" s="17"/>
      <c r="AA16" s="2" t="str">
        <f t="shared" ca="1" si="3"/>
        <v/>
      </c>
      <c r="AB16" s="2"/>
    </row>
    <row r="17" spans="1:28" x14ac:dyDescent="0.3">
      <c r="A17" s="2" t="str">
        <f t="shared" si="0"/>
        <v/>
      </c>
      <c r="B17" s="2"/>
      <c r="C17" s="17"/>
      <c r="D17" s="2" t="str">
        <f t="shared" si="1"/>
        <v/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tr">
        <f t="shared" si="2"/>
        <v/>
      </c>
      <c r="V17" s="2"/>
      <c r="W17" s="2"/>
      <c r="X17" s="2"/>
      <c r="Y17" s="17"/>
      <c r="Z17" s="17"/>
      <c r="AA17" s="2" t="str">
        <f t="shared" ca="1" si="3"/>
        <v/>
      </c>
      <c r="AB17" s="2"/>
    </row>
    <row r="18" spans="1:28" x14ac:dyDescent="0.3">
      <c r="A18" s="2" t="str">
        <f t="shared" si="0"/>
        <v/>
      </c>
      <c r="B18" s="2"/>
      <c r="C18" s="17"/>
      <c r="D18" s="2" t="str">
        <f t="shared" si="1"/>
        <v/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tr">
        <f t="shared" si="2"/>
        <v/>
      </c>
      <c r="V18" s="2"/>
      <c r="W18" s="2"/>
      <c r="X18" s="2"/>
      <c r="Y18" s="17"/>
      <c r="Z18" s="17"/>
      <c r="AA18" s="2" t="str">
        <f t="shared" ca="1" si="3"/>
        <v/>
      </c>
      <c r="AB18" s="2"/>
    </row>
    <row r="19" spans="1:28" x14ac:dyDescent="0.3">
      <c r="A19" s="2" t="str">
        <f t="shared" si="0"/>
        <v/>
      </c>
      <c r="B19" s="2"/>
      <c r="C19" s="17"/>
      <c r="D19" s="2" t="str">
        <f t="shared" si="1"/>
        <v/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tr">
        <f t="shared" si="2"/>
        <v/>
      </c>
      <c r="V19" s="2"/>
      <c r="W19" s="2"/>
      <c r="X19" s="2"/>
      <c r="Y19" s="17"/>
      <c r="Z19" s="17"/>
      <c r="AA19" s="2" t="str">
        <f t="shared" ca="1" si="3"/>
        <v/>
      </c>
      <c r="AB19" s="2"/>
    </row>
    <row r="20" spans="1:28" x14ac:dyDescent="0.3">
      <c r="A20" s="2" t="str">
        <f t="shared" si="0"/>
        <v/>
      </c>
      <c r="B20" s="2"/>
      <c r="C20" s="17"/>
      <c r="D20" s="2" t="str">
        <f t="shared" si="1"/>
        <v/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tr">
        <f t="shared" si="2"/>
        <v/>
      </c>
      <c r="V20" s="2"/>
      <c r="W20" s="2"/>
      <c r="X20" s="2"/>
      <c r="Y20" s="17"/>
      <c r="Z20" s="17"/>
      <c r="AA20" s="2" t="str">
        <f t="shared" ca="1" si="3"/>
        <v/>
      </c>
      <c r="AB20" s="2"/>
    </row>
    <row r="21" spans="1:28" x14ac:dyDescent="0.3">
      <c r="A21" s="2" t="str">
        <f t="shared" si="0"/>
        <v/>
      </c>
      <c r="B21" s="2"/>
      <c r="C21" s="17"/>
      <c r="D21" s="2" t="str">
        <f t="shared" si="1"/>
        <v/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tr">
        <f t="shared" si="2"/>
        <v/>
      </c>
      <c r="V21" s="2"/>
      <c r="W21" s="2"/>
      <c r="X21" s="2"/>
      <c r="Y21" s="17"/>
      <c r="Z21" s="17"/>
      <c r="AA21" s="2" t="str">
        <f t="shared" ca="1" si="3"/>
        <v/>
      </c>
      <c r="AB21" s="2"/>
    </row>
    <row r="22" spans="1:28" x14ac:dyDescent="0.3">
      <c r="A22" s="2" t="str">
        <f t="shared" si="0"/>
        <v/>
      </c>
      <c r="B22" s="2"/>
      <c r="C22" s="17"/>
      <c r="D22" s="2" t="str">
        <f t="shared" si="1"/>
        <v/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tr">
        <f t="shared" si="2"/>
        <v/>
      </c>
      <c r="V22" s="2"/>
      <c r="W22" s="2"/>
      <c r="X22" s="2"/>
      <c r="Y22" s="17"/>
      <c r="Z22" s="17"/>
      <c r="AA22" s="2" t="str">
        <f t="shared" ca="1" si="3"/>
        <v/>
      </c>
      <c r="AB22" s="2"/>
    </row>
    <row r="23" spans="1:28" x14ac:dyDescent="0.3">
      <c r="A23" s="2" t="str">
        <f t="shared" si="0"/>
        <v/>
      </c>
      <c r="B23" s="2"/>
      <c r="C23" s="17"/>
      <c r="D23" s="2" t="str">
        <f t="shared" si="1"/>
        <v/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tr">
        <f t="shared" si="2"/>
        <v/>
      </c>
      <c r="V23" s="2"/>
      <c r="W23" s="2"/>
      <c r="X23" s="2"/>
      <c r="Y23" s="17"/>
      <c r="Z23" s="17"/>
      <c r="AA23" s="2" t="str">
        <f t="shared" ca="1" si="3"/>
        <v/>
      </c>
      <c r="AB23" s="2"/>
    </row>
    <row r="24" spans="1:28" x14ac:dyDescent="0.3">
      <c r="A24" s="2" t="str">
        <f t="shared" si="0"/>
        <v/>
      </c>
      <c r="B24" s="2"/>
      <c r="C24" s="17"/>
      <c r="D24" s="2" t="str">
        <f t="shared" si="1"/>
        <v/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tr">
        <f t="shared" si="2"/>
        <v/>
      </c>
      <c r="V24" s="2"/>
      <c r="W24" s="2"/>
      <c r="X24" s="2"/>
      <c r="Y24" s="17"/>
      <c r="Z24" s="17"/>
      <c r="AA24" s="2" t="str">
        <f t="shared" ca="1" si="3"/>
        <v/>
      </c>
      <c r="AB24" s="2"/>
    </row>
    <row r="25" spans="1:28" x14ac:dyDescent="0.3">
      <c r="A25" s="2" t="str">
        <f t="shared" si="0"/>
        <v/>
      </c>
      <c r="B25" s="2"/>
      <c r="C25" s="17"/>
      <c r="D25" s="2" t="str">
        <f t="shared" si="1"/>
        <v/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tr">
        <f t="shared" si="2"/>
        <v/>
      </c>
      <c r="V25" s="2"/>
      <c r="W25" s="2"/>
      <c r="X25" s="2"/>
      <c r="Y25" s="17"/>
      <c r="Z25" s="17"/>
      <c r="AA25" s="2" t="str">
        <f t="shared" ca="1" si="3"/>
        <v/>
      </c>
      <c r="AB25" s="2"/>
    </row>
    <row r="26" spans="1:28" x14ac:dyDescent="0.3">
      <c r="A26" s="2" t="str">
        <f t="shared" si="0"/>
        <v/>
      </c>
      <c r="B26" s="2"/>
      <c r="C26" s="17"/>
      <c r="D26" s="2" t="str">
        <f t="shared" si="1"/>
        <v/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tr">
        <f t="shared" si="2"/>
        <v/>
      </c>
      <c r="V26" s="2"/>
      <c r="W26" s="2"/>
      <c r="X26" s="2"/>
      <c r="Y26" s="17"/>
      <c r="Z26" s="17"/>
      <c r="AA26" s="2" t="str">
        <f t="shared" ca="1" si="3"/>
        <v/>
      </c>
      <c r="AB26" s="2"/>
    </row>
    <row r="27" spans="1:28" x14ac:dyDescent="0.3">
      <c r="A27" s="2" t="str">
        <f t="shared" si="0"/>
        <v/>
      </c>
      <c r="B27" s="2"/>
      <c r="C27" s="17"/>
      <c r="D27" s="2" t="str">
        <f t="shared" si="1"/>
        <v/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tr">
        <f t="shared" si="2"/>
        <v/>
      </c>
      <c r="V27" s="2"/>
      <c r="W27" s="2"/>
      <c r="X27" s="2"/>
      <c r="Y27" s="17"/>
      <c r="Z27" s="17"/>
      <c r="AA27" s="2" t="str">
        <f t="shared" ca="1" si="3"/>
        <v/>
      </c>
      <c r="AB27" s="2"/>
    </row>
    <row r="28" spans="1:28" x14ac:dyDescent="0.3">
      <c r="A28" s="2" t="str">
        <f t="shared" si="0"/>
        <v/>
      </c>
      <c r="B28" s="2"/>
      <c r="C28" s="17"/>
      <c r="D28" s="2" t="str">
        <f t="shared" si="1"/>
        <v/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tr">
        <f t="shared" si="2"/>
        <v/>
      </c>
      <c r="V28" s="2"/>
      <c r="W28" s="2"/>
      <c r="X28" s="2"/>
      <c r="Y28" s="17"/>
      <c r="Z28" s="17"/>
      <c r="AA28" s="2" t="str">
        <f t="shared" ca="1" si="3"/>
        <v/>
      </c>
      <c r="AB28" s="2"/>
    </row>
    <row r="29" spans="1:28" x14ac:dyDescent="0.3">
      <c r="A29" s="2" t="str">
        <f t="shared" si="0"/>
        <v/>
      </c>
      <c r="B29" s="2"/>
      <c r="C29" s="17"/>
      <c r="D29" s="2" t="str">
        <f t="shared" si="1"/>
        <v/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tr">
        <f t="shared" si="2"/>
        <v/>
      </c>
      <c r="V29" s="2"/>
      <c r="W29" s="2"/>
      <c r="X29" s="2"/>
      <c r="Y29" s="17"/>
      <c r="Z29" s="17"/>
      <c r="AA29" s="2" t="str">
        <f t="shared" ca="1" si="3"/>
        <v/>
      </c>
      <c r="AB29" s="2"/>
    </row>
    <row r="30" spans="1:28" x14ac:dyDescent="0.3">
      <c r="A30" s="2" t="str">
        <f t="shared" si="0"/>
        <v/>
      </c>
      <c r="B30" s="2"/>
      <c r="C30" s="17"/>
      <c r="D30" s="2" t="str">
        <f t="shared" si="1"/>
        <v/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tr">
        <f t="shared" si="2"/>
        <v/>
      </c>
      <c r="V30" s="2"/>
      <c r="W30" s="2"/>
      <c r="X30" s="2"/>
      <c r="Y30" s="17"/>
      <c r="Z30" s="17"/>
      <c r="AA30" s="2" t="str">
        <f t="shared" ca="1" si="3"/>
        <v/>
      </c>
      <c r="AB30" s="2"/>
    </row>
    <row r="31" spans="1:28" x14ac:dyDescent="0.3">
      <c r="A31" s="2" t="str">
        <f t="shared" si="0"/>
        <v/>
      </c>
      <c r="B31" s="2"/>
      <c r="C31" s="17"/>
      <c r="D31" s="2" t="str">
        <f t="shared" si="1"/>
        <v/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tr">
        <f t="shared" si="2"/>
        <v/>
      </c>
      <c r="V31" s="2"/>
      <c r="W31" s="2"/>
      <c r="X31" s="2"/>
      <c r="Y31" s="17"/>
      <c r="Z31" s="17"/>
      <c r="AA31" s="2" t="str">
        <f t="shared" ca="1" si="3"/>
        <v/>
      </c>
      <c r="AB31" s="2"/>
    </row>
    <row r="32" spans="1:28" x14ac:dyDescent="0.3">
      <c r="A32" s="2" t="str">
        <f t="shared" si="0"/>
        <v/>
      </c>
      <c r="B32" s="2"/>
      <c r="C32" s="17"/>
      <c r="D32" s="2" t="str">
        <f t="shared" si="1"/>
        <v/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tr">
        <f t="shared" si="2"/>
        <v/>
      </c>
      <c r="V32" s="2"/>
      <c r="W32" s="2"/>
      <c r="X32" s="2"/>
      <c r="Y32" s="17"/>
      <c r="Z32" s="17"/>
      <c r="AA32" s="2" t="str">
        <f t="shared" ca="1" si="3"/>
        <v/>
      </c>
      <c r="AB32" s="2"/>
    </row>
    <row r="33" spans="1:28" x14ac:dyDescent="0.3">
      <c r="A33" s="2" t="str">
        <f t="shared" si="0"/>
        <v/>
      </c>
      <c r="B33" s="2"/>
      <c r="C33" s="17"/>
      <c r="D33" s="2" t="str">
        <f t="shared" si="1"/>
        <v/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tr">
        <f t="shared" si="2"/>
        <v/>
      </c>
      <c r="V33" s="2"/>
      <c r="W33" s="2"/>
      <c r="X33" s="2"/>
      <c r="Y33" s="17"/>
      <c r="Z33" s="17"/>
      <c r="AA33" s="2" t="str">
        <f t="shared" ca="1" si="3"/>
        <v/>
      </c>
      <c r="AB33" s="2"/>
    </row>
    <row r="34" spans="1:28" x14ac:dyDescent="0.3">
      <c r="A34" s="2" t="str">
        <f t="shared" si="0"/>
        <v/>
      </c>
      <c r="B34" s="2"/>
      <c r="C34" s="17"/>
      <c r="D34" s="2" t="str">
        <f t="shared" si="1"/>
        <v/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tr">
        <f t="shared" si="2"/>
        <v/>
      </c>
      <c r="V34" s="2"/>
      <c r="W34" s="2"/>
      <c r="X34" s="2"/>
      <c r="Y34" s="17"/>
      <c r="Z34" s="17"/>
      <c r="AA34" s="2" t="str">
        <f t="shared" ca="1" si="3"/>
        <v/>
      </c>
      <c r="AB34" s="2"/>
    </row>
    <row r="35" spans="1:28" x14ac:dyDescent="0.3">
      <c r="A35" s="2" t="str">
        <f t="shared" si="0"/>
        <v/>
      </c>
      <c r="B35" s="2"/>
      <c r="C35" s="17"/>
      <c r="D35" s="2" t="str">
        <f t="shared" si="1"/>
        <v/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tr">
        <f t="shared" si="2"/>
        <v/>
      </c>
      <c r="V35" s="2"/>
      <c r="W35" s="2"/>
      <c r="X35" s="2"/>
      <c r="Y35" s="17"/>
      <c r="Z35" s="17"/>
      <c r="AA35" s="2" t="str">
        <f t="shared" ca="1" si="3"/>
        <v/>
      </c>
      <c r="AB35" s="2"/>
    </row>
    <row r="36" spans="1:28" x14ac:dyDescent="0.3">
      <c r="A36" s="2" t="str">
        <f t="shared" si="0"/>
        <v/>
      </c>
      <c r="B36" s="2"/>
      <c r="C36" s="17"/>
      <c r="D36" s="2" t="str">
        <f t="shared" si="1"/>
        <v/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tr">
        <f t="shared" si="2"/>
        <v/>
      </c>
      <c r="V36" s="2"/>
      <c r="W36" s="2"/>
      <c r="X36" s="2"/>
      <c r="Y36" s="17"/>
      <c r="Z36" s="17"/>
      <c r="AA36" s="2" t="str">
        <f t="shared" ca="1" si="3"/>
        <v/>
      </c>
      <c r="AB36" s="2"/>
    </row>
    <row r="37" spans="1:28" x14ac:dyDescent="0.3">
      <c r="A37" s="2" t="str">
        <f t="shared" si="0"/>
        <v/>
      </c>
      <c r="B37" s="2"/>
      <c r="C37" s="17"/>
      <c r="D37" s="2" t="str">
        <f t="shared" si="1"/>
        <v/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tr">
        <f t="shared" si="2"/>
        <v/>
      </c>
      <c r="V37" s="2"/>
      <c r="W37" s="2"/>
      <c r="X37" s="2"/>
      <c r="Y37" s="17"/>
      <c r="Z37" s="17"/>
      <c r="AA37" s="2" t="str">
        <f t="shared" ca="1" si="3"/>
        <v/>
      </c>
      <c r="AB37" s="2"/>
    </row>
    <row r="38" spans="1:28" x14ac:dyDescent="0.3">
      <c r="A38" s="2" t="str">
        <f t="shared" si="0"/>
        <v/>
      </c>
      <c r="B38" s="2"/>
      <c r="C38" s="17"/>
      <c r="D38" s="2" t="str">
        <f t="shared" si="1"/>
        <v/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tr">
        <f t="shared" si="2"/>
        <v/>
      </c>
      <c r="V38" s="2"/>
      <c r="W38" s="2"/>
      <c r="X38" s="2"/>
      <c r="Y38" s="17"/>
      <c r="Z38" s="17"/>
      <c r="AA38" s="2" t="str">
        <f t="shared" ca="1" si="3"/>
        <v/>
      </c>
      <c r="AB38" s="2"/>
    </row>
    <row r="39" spans="1:28" x14ac:dyDescent="0.3">
      <c r="A39" s="2" t="str">
        <f t="shared" si="0"/>
        <v/>
      </c>
      <c r="B39" s="2"/>
      <c r="C39" s="17"/>
      <c r="D39" s="2" t="str">
        <f t="shared" si="1"/>
        <v/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tr">
        <f t="shared" si="2"/>
        <v/>
      </c>
      <c r="V39" s="2"/>
      <c r="W39" s="2"/>
      <c r="X39" s="2"/>
      <c r="Y39" s="17"/>
      <c r="Z39" s="17"/>
      <c r="AA39" s="2" t="str">
        <f t="shared" ca="1" si="3"/>
        <v/>
      </c>
      <c r="AB39" s="2"/>
    </row>
    <row r="40" spans="1:28" x14ac:dyDescent="0.3">
      <c r="A40" s="2" t="str">
        <f t="shared" si="0"/>
        <v/>
      </c>
      <c r="B40" s="2"/>
      <c r="C40" s="17"/>
      <c r="D40" s="2" t="str">
        <f t="shared" si="1"/>
        <v/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tr">
        <f t="shared" si="2"/>
        <v/>
      </c>
      <c r="V40" s="2"/>
      <c r="W40" s="2"/>
      <c r="X40" s="2"/>
      <c r="Y40" s="17"/>
      <c r="Z40" s="17"/>
      <c r="AA40" s="2" t="str">
        <f t="shared" ca="1" si="3"/>
        <v/>
      </c>
      <c r="AB40" s="2"/>
    </row>
    <row r="41" spans="1:28" x14ac:dyDescent="0.3">
      <c r="A41" s="2" t="str">
        <f t="shared" si="0"/>
        <v/>
      </c>
      <c r="B41" s="2"/>
      <c r="C41" s="17"/>
      <c r="D41" s="2" t="str">
        <f t="shared" si="1"/>
        <v/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tr">
        <f t="shared" si="2"/>
        <v/>
      </c>
      <c r="V41" s="2"/>
      <c r="W41" s="2"/>
      <c r="X41" s="2"/>
      <c r="Y41" s="17"/>
      <c r="Z41" s="17"/>
      <c r="AA41" s="2" t="str">
        <f t="shared" ca="1" si="3"/>
        <v/>
      </c>
      <c r="AB41" s="2"/>
    </row>
    <row r="42" spans="1:28" x14ac:dyDescent="0.3">
      <c r="A42" s="2" t="str">
        <f t="shared" si="0"/>
        <v/>
      </c>
      <c r="B42" s="2"/>
      <c r="C42" s="17"/>
      <c r="D42" s="2" t="str">
        <f t="shared" si="1"/>
        <v/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tr">
        <f t="shared" si="2"/>
        <v/>
      </c>
      <c r="V42" s="2"/>
      <c r="W42" s="2"/>
      <c r="X42" s="2"/>
      <c r="Y42" s="17"/>
      <c r="Z42" s="17"/>
      <c r="AA42" s="2" t="str">
        <f t="shared" ca="1" si="3"/>
        <v/>
      </c>
      <c r="AB42" s="2"/>
    </row>
    <row r="43" spans="1:28" x14ac:dyDescent="0.3">
      <c r="A43" s="2" t="str">
        <f t="shared" si="0"/>
        <v/>
      </c>
      <c r="B43" s="2"/>
      <c r="C43" s="17"/>
      <c r="D43" s="2" t="str">
        <f t="shared" si="1"/>
        <v/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tr">
        <f t="shared" si="2"/>
        <v/>
      </c>
      <c r="V43" s="2"/>
      <c r="W43" s="2"/>
      <c r="X43" s="2"/>
      <c r="Y43" s="17"/>
      <c r="Z43" s="17"/>
      <c r="AA43" s="2" t="str">
        <f t="shared" ca="1" si="3"/>
        <v/>
      </c>
      <c r="AB43" s="2"/>
    </row>
    <row r="44" spans="1:28" x14ac:dyDescent="0.3">
      <c r="A44" s="2" t="str">
        <f t="shared" si="0"/>
        <v/>
      </c>
      <c r="B44" s="2"/>
      <c r="C44" s="17"/>
      <c r="D44" s="2" t="str">
        <f t="shared" si="1"/>
        <v/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tr">
        <f t="shared" si="2"/>
        <v/>
      </c>
      <c r="V44" s="2"/>
      <c r="W44" s="2"/>
      <c r="X44" s="2"/>
      <c r="Y44" s="17"/>
      <c r="Z44" s="17"/>
      <c r="AA44" s="2" t="str">
        <f t="shared" ca="1" si="3"/>
        <v/>
      </c>
      <c r="AB44" s="2"/>
    </row>
    <row r="45" spans="1:28" x14ac:dyDescent="0.3">
      <c r="A45" s="2" t="str">
        <f t="shared" si="0"/>
        <v/>
      </c>
      <c r="B45" s="2"/>
      <c r="C45" s="17"/>
      <c r="D45" s="2" t="str">
        <f t="shared" si="1"/>
        <v/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tr">
        <f t="shared" si="2"/>
        <v/>
      </c>
      <c r="V45" s="2"/>
      <c r="W45" s="2"/>
      <c r="X45" s="2"/>
      <c r="Y45" s="17"/>
      <c r="Z45" s="17"/>
      <c r="AA45" s="2" t="str">
        <f t="shared" ca="1" si="3"/>
        <v/>
      </c>
      <c r="AB45" s="2"/>
    </row>
    <row r="46" spans="1:28" x14ac:dyDescent="0.3">
      <c r="A46" s="2" t="str">
        <f t="shared" si="0"/>
        <v/>
      </c>
      <c r="B46" s="2"/>
      <c r="C46" s="17"/>
      <c r="D46" s="2" t="str">
        <f t="shared" si="1"/>
        <v/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tr">
        <f t="shared" si="2"/>
        <v/>
      </c>
      <c r="V46" s="2"/>
      <c r="W46" s="2"/>
      <c r="X46" s="2"/>
      <c r="Y46" s="17"/>
      <c r="Z46" s="17"/>
      <c r="AA46" s="2" t="str">
        <f t="shared" ca="1" si="3"/>
        <v/>
      </c>
      <c r="AB46" s="2"/>
    </row>
    <row r="47" spans="1:28" x14ac:dyDescent="0.3">
      <c r="A47" s="2" t="str">
        <f t="shared" si="0"/>
        <v/>
      </c>
      <c r="B47" s="2"/>
      <c r="C47" s="17"/>
      <c r="D47" s="2" t="str">
        <f t="shared" si="1"/>
        <v/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tr">
        <f t="shared" si="2"/>
        <v/>
      </c>
      <c r="V47" s="2"/>
      <c r="W47" s="2"/>
      <c r="X47" s="2"/>
      <c r="Y47" s="17"/>
      <c r="Z47" s="17"/>
      <c r="AA47" s="2" t="str">
        <f t="shared" ca="1" si="3"/>
        <v/>
      </c>
      <c r="AB47" s="2"/>
    </row>
    <row r="48" spans="1:28" x14ac:dyDescent="0.3">
      <c r="A48" s="2" t="str">
        <f t="shared" si="0"/>
        <v/>
      </c>
      <c r="B48" s="2"/>
      <c r="C48" s="17"/>
      <c r="D48" s="2" t="str">
        <f t="shared" si="1"/>
        <v/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tr">
        <f t="shared" si="2"/>
        <v/>
      </c>
      <c r="V48" s="2"/>
      <c r="W48" s="2"/>
      <c r="X48" s="2"/>
      <c r="Y48" s="17"/>
      <c r="Z48" s="17"/>
      <c r="AA48" s="2" t="str">
        <f t="shared" ca="1" si="3"/>
        <v/>
      </c>
      <c r="AB48" s="2"/>
    </row>
    <row r="49" spans="1:28" x14ac:dyDescent="0.3">
      <c r="A49" s="2" t="str">
        <f t="shared" si="0"/>
        <v/>
      </c>
      <c r="B49" s="2"/>
      <c r="C49" s="17"/>
      <c r="D49" s="2" t="str">
        <f t="shared" si="1"/>
        <v/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tr">
        <f t="shared" si="2"/>
        <v/>
      </c>
      <c r="V49" s="2"/>
      <c r="W49" s="2"/>
      <c r="X49" s="2"/>
      <c r="Y49" s="17"/>
      <c r="Z49" s="17"/>
      <c r="AA49" s="2" t="str">
        <f t="shared" ca="1" si="3"/>
        <v/>
      </c>
      <c r="AB49" s="2"/>
    </row>
    <row r="50" spans="1:28" x14ac:dyDescent="0.3">
      <c r="A50" s="2" t="str">
        <f t="shared" si="0"/>
        <v/>
      </c>
      <c r="B50" s="2"/>
      <c r="C50" s="17"/>
      <c r="D50" s="2" t="str">
        <f t="shared" si="1"/>
        <v/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tr">
        <f t="shared" si="2"/>
        <v/>
      </c>
      <c r="V50" s="2"/>
      <c r="W50" s="2"/>
      <c r="X50" s="2"/>
      <c r="Y50" s="17"/>
      <c r="Z50" s="17"/>
      <c r="AA50" s="2" t="str">
        <f t="shared" ca="1" si="3"/>
        <v/>
      </c>
      <c r="AB50" s="2"/>
    </row>
    <row r="51" spans="1:28" x14ac:dyDescent="0.3">
      <c r="A51" s="2" t="str">
        <f t="shared" si="0"/>
        <v/>
      </c>
      <c r="B51" s="2"/>
      <c r="C51" s="17"/>
      <c r="D51" s="2" t="str">
        <f t="shared" si="1"/>
        <v/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tr">
        <f t="shared" si="2"/>
        <v/>
      </c>
      <c r="V51" s="2"/>
      <c r="W51" s="2"/>
      <c r="X51" s="2"/>
      <c r="Y51" s="17"/>
      <c r="Z51" s="17"/>
      <c r="AA51" s="2" t="str">
        <f t="shared" ca="1" si="3"/>
        <v/>
      </c>
      <c r="AB51" s="2"/>
    </row>
    <row r="52" spans="1:28" x14ac:dyDescent="0.3">
      <c r="A52" s="2" t="str">
        <f t="shared" si="0"/>
        <v/>
      </c>
      <c r="B52" s="2"/>
      <c r="C52" s="17"/>
      <c r="D52" s="2" t="str">
        <f t="shared" si="1"/>
        <v/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tr">
        <f t="shared" si="2"/>
        <v/>
      </c>
      <c r="V52" s="2"/>
      <c r="W52" s="2"/>
      <c r="X52" s="2"/>
      <c r="Y52" s="17"/>
      <c r="Z52" s="17"/>
      <c r="AA52" s="2" t="str">
        <f t="shared" ca="1" si="3"/>
        <v/>
      </c>
      <c r="AB52" s="2"/>
    </row>
    <row r="53" spans="1:28" x14ac:dyDescent="0.3">
      <c r="A53" s="2" t="str">
        <f t="shared" si="0"/>
        <v/>
      </c>
      <c r="B53" s="2"/>
      <c r="C53" s="17"/>
      <c r="D53" s="2" t="str">
        <f t="shared" si="1"/>
        <v/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tr">
        <f t="shared" si="2"/>
        <v/>
      </c>
      <c r="V53" s="2"/>
      <c r="W53" s="2"/>
      <c r="X53" s="2"/>
      <c r="Y53" s="17"/>
      <c r="Z53" s="17"/>
      <c r="AA53" s="2" t="str">
        <f t="shared" ca="1" si="3"/>
        <v/>
      </c>
      <c r="AB53" s="2"/>
    </row>
    <row r="54" spans="1:28" x14ac:dyDescent="0.3">
      <c r="A54" s="2" t="str">
        <f t="shared" si="0"/>
        <v/>
      </c>
      <c r="B54" s="2"/>
      <c r="C54" s="17"/>
      <c r="D54" s="2" t="str">
        <f t="shared" si="1"/>
        <v/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tr">
        <f t="shared" si="2"/>
        <v/>
      </c>
      <c r="V54" s="2"/>
      <c r="W54" s="2"/>
      <c r="X54" s="2"/>
      <c r="Y54" s="17"/>
      <c r="Z54" s="17"/>
      <c r="AA54" s="2" t="str">
        <f t="shared" ca="1" si="3"/>
        <v/>
      </c>
      <c r="AB54" s="2"/>
    </row>
    <row r="55" spans="1:28" x14ac:dyDescent="0.3">
      <c r="A55" s="2" t="str">
        <f t="shared" si="0"/>
        <v/>
      </c>
      <c r="B55" s="2"/>
      <c r="C55" s="17"/>
      <c r="D55" s="2" t="str">
        <f t="shared" si="1"/>
        <v/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tr">
        <f t="shared" si="2"/>
        <v/>
      </c>
      <c r="V55" s="2"/>
      <c r="W55" s="2"/>
      <c r="X55" s="2"/>
      <c r="Y55" s="17"/>
      <c r="Z55" s="17"/>
      <c r="AA55" s="2" t="str">
        <f t="shared" ca="1" si="3"/>
        <v/>
      </c>
      <c r="AB55" s="2"/>
    </row>
    <row r="56" spans="1:28" x14ac:dyDescent="0.3">
      <c r="A56" s="2" t="str">
        <f t="shared" si="0"/>
        <v/>
      </c>
      <c r="B56" s="2"/>
      <c r="C56" s="17"/>
      <c r="D56" s="2" t="str">
        <f t="shared" si="1"/>
        <v/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tr">
        <f t="shared" si="2"/>
        <v/>
      </c>
      <c r="V56" s="2"/>
      <c r="W56" s="2"/>
      <c r="X56" s="2"/>
      <c r="Y56" s="17"/>
      <c r="Z56" s="17"/>
      <c r="AA56" s="2" t="str">
        <f t="shared" ca="1" si="3"/>
        <v/>
      </c>
      <c r="AB56" s="2"/>
    </row>
    <row r="57" spans="1:28" x14ac:dyDescent="0.3">
      <c r="A57" s="2" t="str">
        <f t="shared" si="0"/>
        <v/>
      </c>
      <c r="B57" s="2"/>
      <c r="C57" s="17"/>
      <c r="D57" s="2" t="str">
        <f t="shared" si="1"/>
        <v/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tr">
        <f t="shared" si="2"/>
        <v/>
      </c>
      <c r="V57" s="2"/>
      <c r="W57" s="2"/>
      <c r="X57" s="2"/>
      <c r="Y57" s="17"/>
      <c r="Z57" s="17"/>
      <c r="AA57" s="2" t="str">
        <f t="shared" ca="1" si="3"/>
        <v/>
      </c>
      <c r="AB57" s="2"/>
    </row>
    <row r="58" spans="1:28" x14ac:dyDescent="0.3">
      <c r="A58" s="2" t="str">
        <f t="shared" si="0"/>
        <v/>
      </c>
      <c r="B58" s="2"/>
      <c r="C58" s="17"/>
      <c r="D58" s="2" t="str">
        <f t="shared" si="1"/>
        <v/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tr">
        <f t="shared" si="2"/>
        <v/>
      </c>
      <c r="V58" s="2"/>
      <c r="W58" s="2"/>
      <c r="X58" s="2"/>
      <c r="Y58" s="17"/>
      <c r="Z58" s="17"/>
      <c r="AA58" s="2" t="str">
        <f t="shared" ca="1" si="3"/>
        <v/>
      </c>
      <c r="AB58" s="2"/>
    </row>
    <row r="59" spans="1:28" x14ac:dyDescent="0.3">
      <c r="A59" s="2" t="str">
        <f t="shared" si="0"/>
        <v/>
      </c>
      <c r="B59" s="2"/>
      <c r="C59" s="17"/>
      <c r="D59" s="2" t="str">
        <f t="shared" si="1"/>
        <v/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tr">
        <f t="shared" si="2"/>
        <v/>
      </c>
      <c r="V59" s="2"/>
      <c r="W59" s="2"/>
      <c r="X59" s="2"/>
      <c r="Y59" s="17"/>
      <c r="Z59" s="17"/>
      <c r="AA59" s="2" t="str">
        <f t="shared" ca="1" si="3"/>
        <v/>
      </c>
      <c r="AB59" s="2"/>
    </row>
    <row r="60" spans="1:28" x14ac:dyDescent="0.3">
      <c r="A60" s="2" t="str">
        <f t="shared" si="0"/>
        <v/>
      </c>
      <c r="B60" s="2"/>
      <c r="C60" s="17"/>
      <c r="D60" s="2" t="str">
        <f t="shared" si="1"/>
        <v/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tr">
        <f t="shared" si="2"/>
        <v/>
      </c>
      <c r="V60" s="2"/>
      <c r="W60" s="2"/>
      <c r="X60" s="2"/>
      <c r="Y60" s="17"/>
      <c r="Z60" s="17"/>
      <c r="AA60" s="2" t="str">
        <f t="shared" ca="1" si="3"/>
        <v/>
      </c>
      <c r="AB60" s="2"/>
    </row>
    <row r="61" spans="1:28" x14ac:dyDescent="0.3">
      <c r="A61" s="2" t="str">
        <f t="shared" si="0"/>
        <v/>
      </c>
      <c r="B61" s="2"/>
      <c r="C61" s="17"/>
      <c r="D61" s="2" t="str">
        <f t="shared" si="1"/>
        <v/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tr">
        <f t="shared" si="2"/>
        <v/>
      </c>
      <c r="V61" s="2"/>
      <c r="W61" s="2"/>
      <c r="X61" s="2"/>
      <c r="Y61" s="17"/>
      <c r="Z61" s="17"/>
      <c r="AA61" s="2" t="str">
        <f t="shared" ca="1" si="3"/>
        <v/>
      </c>
      <c r="AB61" s="2"/>
    </row>
    <row r="62" spans="1:28" x14ac:dyDescent="0.3">
      <c r="A62" s="2" t="str">
        <f t="shared" si="0"/>
        <v/>
      </c>
      <c r="B62" s="2"/>
      <c r="C62" s="17"/>
      <c r="D62" s="2" t="str">
        <f t="shared" si="1"/>
        <v/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tr">
        <f t="shared" si="2"/>
        <v/>
      </c>
      <c r="V62" s="2"/>
      <c r="W62" s="2"/>
      <c r="X62" s="2"/>
      <c r="Y62" s="17"/>
      <c r="Z62" s="17"/>
      <c r="AA62" s="2" t="str">
        <f t="shared" ca="1" si="3"/>
        <v/>
      </c>
      <c r="AB62" s="2"/>
    </row>
    <row r="63" spans="1:28" x14ac:dyDescent="0.3">
      <c r="A63" s="2" t="str">
        <f t="shared" si="0"/>
        <v/>
      </c>
      <c r="B63" s="2"/>
      <c r="C63" s="17"/>
      <c r="D63" s="2" t="str">
        <f t="shared" si="1"/>
        <v/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tr">
        <f t="shared" si="2"/>
        <v/>
      </c>
      <c r="V63" s="2"/>
      <c r="W63" s="2"/>
      <c r="X63" s="2"/>
      <c r="Y63" s="17"/>
      <c r="Z63" s="17"/>
      <c r="AA63" s="2" t="str">
        <f t="shared" ca="1" si="3"/>
        <v/>
      </c>
      <c r="AB63" s="2"/>
    </row>
    <row r="64" spans="1:28" x14ac:dyDescent="0.3">
      <c r="A64" s="2" t="str">
        <f t="shared" si="0"/>
        <v/>
      </c>
      <c r="B64" s="2"/>
      <c r="C64" s="17"/>
      <c r="D64" s="2" t="str">
        <f t="shared" si="1"/>
        <v/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tr">
        <f t="shared" si="2"/>
        <v/>
      </c>
      <c r="V64" s="2"/>
      <c r="W64" s="2"/>
      <c r="X64" s="2"/>
      <c r="Y64" s="17"/>
      <c r="Z64" s="17"/>
      <c r="AA64" s="2" t="str">
        <f t="shared" ca="1" si="3"/>
        <v/>
      </c>
      <c r="AB64" s="2"/>
    </row>
    <row r="65" spans="1:28" x14ac:dyDescent="0.3">
      <c r="A65" s="2" t="str">
        <f t="shared" si="0"/>
        <v/>
      </c>
      <c r="B65" s="2"/>
      <c r="C65" s="17"/>
      <c r="D65" s="2" t="str">
        <f t="shared" si="1"/>
        <v/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tr">
        <f t="shared" si="2"/>
        <v/>
      </c>
      <c r="V65" s="2"/>
      <c r="W65" s="2"/>
      <c r="X65" s="2"/>
      <c r="Y65" s="17"/>
      <c r="Z65" s="17"/>
      <c r="AA65" s="2" t="str">
        <f t="shared" ca="1" si="3"/>
        <v/>
      </c>
      <c r="AB65" s="2"/>
    </row>
    <row r="66" spans="1:28" x14ac:dyDescent="0.3">
      <c r="A66" s="2" t="str">
        <f t="shared" ref="A66:A129" si="4">IF(C66="","",ROW()-1)</f>
        <v/>
      </c>
      <c r="B66" s="2"/>
      <c r="C66" s="17"/>
      <c r="D66" s="2" t="str">
        <f t="shared" ref="D66:D129" si="5">IF(C66="","",TEXT(C66,"mmm-yy"))</f>
        <v/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tr">
        <f t="shared" ref="U66:U129" si="6">IF(OR(N66="Y",N66="Yes"),S66,"")</f>
        <v/>
      </c>
      <c r="V66" s="2"/>
      <c r="W66" s="2"/>
      <c r="X66" s="2"/>
      <c r="Y66" s="17"/>
      <c r="Z66" s="17"/>
      <c r="AA66" s="2" t="str">
        <f t="shared" ref="AA66:AA129" ca="1" si="7">IF(C66="","",IF(Z66&lt;&gt;"","Closed",IF(Y66&lt;TODAY(),"Overdue","Open")))</f>
        <v/>
      </c>
      <c r="AB66" s="2"/>
    </row>
    <row r="67" spans="1:28" x14ac:dyDescent="0.3">
      <c r="A67" s="2" t="str">
        <f t="shared" si="4"/>
        <v/>
      </c>
      <c r="B67" s="2"/>
      <c r="C67" s="17"/>
      <c r="D67" s="2" t="str">
        <f t="shared" si="5"/>
        <v/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tr">
        <f t="shared" si="6"/>
        <v/>
      </c>
      <c r="V67" s="2"/>
      <c r="W67" s="2"/>
      <c r="X67" s="2"/>
      <c r="Y67" s="17"/>
      <c r="Z67" s="17"/>
      <c r="AA67" s="2" t="str">
        <f t="shared" ca="1" si="7"/>
        <v/>
      </c>
      <c r="AB67" s="2"/>
    </row>
    <row r="68" spans="1:28" x14ac:dyDescent="0.3">
      <c r="A68" s="2" t="str">
        <f t="shared" si="4"/>
        <v/>
      </c>
      <c r="B68" s="2"/>
      <c r="C68" s="17"/>
      <c r="D68" s="2" t="str">
        <f t="shared" si="5"/>
        <v/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tr">
        <f t="shared" si="6"/>
        <v/>
      </c>
      <c r="V68" s="2"/>
      <c r="W68" s="2"/>
      <c r="X68" s="2"/>
      <c r="Y68" s="17"/>
      <c r="Z68" s="17"/>
      <c r="AA68" s="2" t="str">
        <f t="shared" ca="1" si="7"/>
        <v/>
      </c>
      <c r="AB68" s="2"/>
    </row>
    <row r="69" spans="1:28" x14ac:dyDescent="0.3">
      <c r="A69" s="2" t="str">
        <f t="shared" si="4"/>
        <v/>
      </c>
      <c r="B69" s="2"/>
      <c r="C69" s="17"/>
      <c r="D69" s="2" t="str">
        <f t="shared" si="5"/>
        <v/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tr">
        <f t="shared" si="6"/>
        <v/>
      </c>
      <c r="V69" s="2"/>
      <c r="W69" s="2"/>
      <c r="X69" s="2"/>
      <c r="Y69" s="17"/>
      <c r="Z69" s="17"/>
      <c r="AA69" s="2" t="str">
        <f t="shared" ca="1" si="7"/>
        <v/>
      </c>
      <c r="AB69" s="2"/>
    </row>
    <row r="70" spans="1:28" x14ac:dyDescent="0.3">
      <c r="A70" s="2" t="str">
        <f t="shared" si="4"/>
        <v/>
      </c>
      <c r="B70" s="2"/>
      <c r="C70" s="17"/>
      <c r="D70" s="2" t="str">
        <f t="shared" si="5"/>
        <v/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tr">
        <f t="shared" si="6"/>
        <v/>
      </c>
      <c r="V70" s="2"/>
      <c r="W70" s="2"/>
      <c r="X70" s="2"/>
      <c r="Y70" s="17"/>
      <c r="Z70" s="17"/>
      <c r="AA70" s="2" t="str">
        <f t="shared" ca="1" si="7"/>
        <v/>
      </c>
      <c r="AB70" s="2"/>
    </row>
    <row r="71" spans="1:28" x14ac:dyDescent="0.3">
      <c r="A71" s="2" t="str">
        <f t="shared" si="4"/>
        <v/>
      </c>
      <c r="B71" s="2"/>
      <c r="C71" s="17"/>
      <c r="D71" s="2" t="str">
        <f t="shared" si="5"/>
        <v/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tr">
        <f t="shared" si="6"/>
        <v/>
      </c>
      <c r="V71" s="2"/>
      <c r="W71" s="2"/>
      <c r="X71" s="2"/>
      <c r="Y71" s="17"/>
      <c r="Z71" s="17"/>
      <c r="AA71" s="2" t="str">
        <f t="shared" ca="1" si="7"/>
        <v/>
      </c>
      <c r="AB71" s="2"/>
    </row>
    <row r="72" spans="1:28" x14ac:dyDescent="0.3">
      <c r="A72" s="2" t="str">
        <f t="shared" si="4"/>
        <v/>
      </c>
      <c r="B72" s="2"/>
      <c r="C72" s="17"/>
      <c r="D72" s="2" t="str">
        <f t="shared" si="5"/>
        <v/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tr">
        <f t="shared" si="6"/>
        <v/>
      </c>
      <c r="V72" s="2"/>
      <c r="W72" s="2"/>
      <c r="X72" s="2"/>
      <c r="Y72" s="17"/>
      <c r="Z72" s="17"/>
      <c r="AA72" s="2" t="str">
        <f t="shared" ca="1" si="7"/>
        <v/>
      </c>
      <c r="AB72" s="2"/>
    </row>
    <row r="73" spans="1:28" x14ac:dyDescent="0.3">
      <c r="A73" s="2" t="str">
        <f t="shared" si="4"/>
        <v/>
      </c>
      <c r="B73" s="2"/>
      <c r="C73" s="17"/>
      <c r="D73" s="2" t="str">
        <f t="shared" si="5"/>
        <v/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tr">
        <f t="shared" si="6"/>
        <v/>
      </c>
      <c r="V73" s="2"/>
      <c r="W73" s="2"/>
      <c r="X73" s="2"/>
      <c r="Y73" s="17"/>
      <c r="Z73" s="17"/>
      <c r="AA73" s="2" t="str">
        <f t="shared" ca="1" si="7"/>
        <v/>
      </c>
      <c r="AB73" s="2"/>
    </row>
    <row r="74" spans="1:28" x14ac:dyDescent="0.3">
      <c r="A74" s="2" t="str">
        <f t="shared" si="4"/>
        <v/>
      </c>
      <c r="B74" s="2"/>
      <c r="C74" s="17"/>
      <c r="D74" s="2" t="str">
        <f t="shared" si="5"/>
        <v/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tr">
        <f t="shared" si="6"/>
        <v/>
      </c>
      <c r="V74" s="2"/>
      <c r="W74" s="2"/>
      <c r="X74" s="2"/>
      <c r="Y74" s="17"/>
      <c r="Z74" s="17"/>
      <c r="AA74" s="2" t="str">
        <f t="shared" ca="1" si="7"/>
        <v/>
      </c>
      <c r="AB74" s="2"/>
    </row>
    <row r="75" spans="1:28" x14ac:dyDescent="0.3">
      <c r="A75" s="2" t="str">
        <f t="shared" si="4"/>
        <v/>
      </c>
      <c r="B75" s="2"/>
      <c r="C75" s="17"/>
      <c r="D75" s="2" t="str">
        <f t="shared" si="5"/>
        <v/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tr">
        <f t="shared" si="6"/>
        <v/>
      </c>
      <c r="V75" s="2"/>
      <c r="W75" s="2"/>
      <c r="X75" s="2"/>
      <c r="Y75" s="17"/>
      <c r="Z75" s="17"/>
      <c r="AA75" s="2" t="str">
        <f t="shared" ca="1" si="7"/>
        <v/>
      </c>
      <c r="AB75" s="2"/>
    </row>
    <row r="76" spans="1:28" x14ac:dyDescent="0.3">
      <c r="A76" s="2" t="str">
        <f t="shared" si="4"/>
        <v/>
      </c>
      <c r="B76" s="2"/>
      <c r="C76" s="17"/>
      <c r="D76" s="2" t="str">
        <f t="shared" si="5"/>
        <v/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tr">
        <f t="shared" si="6"/>
        <v/>
      </c>
      <c r="V76" s="2"/>
      <c r="W76" s="2"/>
      <c r="X76" s="2"/>
      <c r="Y76" s="17"/>
      <c r="Z76" s="17"/>
      <c r="AA76" s="2" t="str">
        <f t="shared" ca="1" si="7"/>
        <v/>
      </c>
      <c r="AB76" s="2"/>
    </row>
    <row r="77" spans="1:28" x14ac:dyDescent="0.3">
      <c r="A77" s="2" t="str">
        <f t="shared" si="4"/>
        <v/>
      </c>
      <c r="B77" s="2"/>
      <c r="C77" s="17"/>
      <c r="D77" s="2" t="str">
        <f t="shared" si="5"/>
        <v/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tr">
        <f t="shared" si="6"/>
        <v/>
      </c>
      <c r="V77" s="2"/>
      <c r="W77" s="2"/>
      <c r="X77" s="2"/>
      <c r="Y77" s="17"/>
      <c r="Z77" s="17"/>
      <c r="AA77" s="2" t="str">
        <f t="shared" ca="1" si="7"/>
        <v/>
      </c>
      <c r="AB77" s="2"/>
    </row>
    <row r="78" spans="1:28" x14ac:dyDescent="0.3">
      <c r="A78" s="2" t="str">
        <f t="shared" si="4"/>
        <v/>
      </c>
      <c r="B78" s="2"/>
      <c r="C78" s="17"/>
      <c r="D78" s="2" t="str">
        <f t="shared" si="5"/>
        <v/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tr">
        <f t="shared" si="6"/>
        <v/>
      </c>
      <c r="V78" s="2"/>
      <c r="W78" s="2"/>
      <c r="X78" s="2"/>
      <c r="Y78" s="17"/>
      <c r="Z78" s="17"/>
      <c r="AA78" s="2" t="str">
        <f t="shared" ca="1" si="7"/>
        <v/>
      </c>
      <c r="AB78" s="2"/>
    </row>
    <row r="79" spans="1:28" x14ac:dyDescent="0.3">
      <c r="A79" s="2" t="str">
        <f t="shared" si="4"/>
        <v/>
      </c>
      <c r="B79" s="2"/>
      <c r="C79" s="17"/>
      <c r="D79" s="2" t="str">
        <f t="shared" si="5"/>
        <v/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tr">
        <f t="shared" si="6"/>
        <v/>
      </c>
      <c r="V79" s="2"/>
      <c r="W79" s="2"/>
      <c r="X79" s="2"/>
      <c r="Y79" s="17"/>
      <c r="Z79" s="17"/>
      <c r="AA79" s="2" t="str">
        <f t="shared" ca="1" si="7"/>
        <v/>
      </c>
      <c r="AB79" s="2"/>
    </row>
    <row r="80" spans="1:28" x14ac:dyDescent="0.3">
      <c r="A80" s="2" t="str">
        <f t="shared" si="4"/>
        <v/>
      </c>
      <c r="B80" s="2"/>
      <c r="C80" s="17"/>
      <c r="D80" s="2" t="str">
        <f t="shared" si="5"/>
        <v/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tr">
        <f t="shared" si="6"/>
        <v/>
      </c>
      <c r="V80" s="2"/>
      <c r="W80" s="2"/>
      <c r="X80" s="2"/>
      <c r="Y80" s="17"/>
      <c r="Z80" s="17"/>
      <c r="AA80" s="2" t="str">
        <f t="shared" ca="1" si="7"/>
        <v/>
      </c>
      <c r="AB80" s="2"/>
    </row>
    <row r="81" spans="1:28" x14ac:dyDescent="0.3">
      <c r="A81" s="2" t="str">
        <f t="shared" si="4"/>
        <v/>
      </c>
      <c r="B81" s="2"/>
      <c r="C81" s="17"/>
      <c r="D81" s="2" t="str">
        <f t="shared" si="5"/>
        <v/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tr">
        <f t="shared" si="6"/>
        <v/>
      </c>
      <c r="V81" s="2"/>
      <c r="W81" s="2"/>
      <c r="X81" s="2"/>
      <c r="Y81" s="17"/>
      <c r="Z81" s="17"/>
      <c r="AA81" s="2" t="str">
        <f t="shared" ca="1" si="7"/>
        <v/>
      </c>
      <c r="AB81" s="2"/>
    </row>
    <row r="82" spans="1:28" x14ac:dyDescent="0.3">
      <c r="A82" s="2" t="str">
        <f t="shared" si="4"/>
        <v/>
      </c>
      <c r="B82" s="2"/>
      <c r="C82" s="17"/>
      <c r="D82" s="2" t="str">
        <f t="shared" si="5"/>
        <v/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tr">
        <f t="shared" si="6"/>
        <v/>
      </c>
      <c r="V82" s="2"/>
      <c r="W82" s="2"/>
      <c r="X82" s="2"/>
      <c r="Y82" s="17"/>
      <c r="Z82" s="17"/>
      <c r="AA82" s="2" t="str">
        <f t="shared" ca="1" si="7"/>
        <v/>
      </c>
      <c r="AB82" s="2"/>
    </row>
    <row r="83" spans="1:28" x14ac:dyDescent="0.3">
      <c r="A83" s="2" t="str">
        <f t="shared" si="4"/>
        <v/>
      </c>
      <c r="B83" s="2"/>
      <c r="C83" s="17"/>
      <c r="D83" s="2" t="str">
        <f t="shared" si="5"/>
        <v/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tr">
        <f t="shared" si="6"/>
        <v/>
      </c>
      <c r="V83" s="2"/>
      <c r="W83" s="2"/>
      <c r="X83" s="2"/>
      <c r="Y83" s="17"/>
      <c r="Z83" s="17"/>
      <c r="AA83" s="2" t="str">
        <f t="shared" ca="1" si="7"/>
        <v/>
      </c>
      <c r="AB83" s="2"/>
    </row>
    <row r="84" spans="1:28" x14ac:dyDescent="0.3">
      <c r="A84" s="2" t="str">
        <f t="shared" si="4"/>
        <v/>
      </c>
      <c r="B84" s="2"/>
      <c r="C84" s="17"/>
      <c r="D84" s="2" t="str">
        <f t="shared" si="5"/>
        <v/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tr">
        <f t="shared" si="6"/>
        <v/>
      </c>
      <c r="V84" s="2"/>
      <c r="W84" s="2"/>
      <c r="X84" s="2"/>
      <c r="Y84" s="17"/>
      <c r="Z84" s="17"/>
      <c r="AA84" s="2" t="str">
        <f t="shared" ca="1" si="7"/>
        <v/>
      </c>
      <c r="AB84" s="2"/>
    </row>
    <row r="85" spans="1:28" x14ac:dyDescent="0.3">
      <c r="A85" s="2" t="str">
        <f t="shared" si="4"/>
        <v/>
      </c>
      <c r="B85" s="2"/>
      <c r="C85" s="17"/>
      <c r="D85" s="2" t="str">
        <f t="shared" si="5"/>
        <v/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tr">
        <f t="shared" si="6"/>
        <v/>
      </c>
      <c r="V85" s="2"/>
      <c r="W85" s="2"/>
      <c r="X85" s="2"/>
      <c r="Y85" s="17"/>
      <c r="Z85" s="17"/>
      <c r="AA85" s="2" t="str">
        <f t="shared" ca="1" si="7"/>
        <v/>
      </c>
      <c r="AB85" s="2"/>
    </row>
    <row r="86" spans="1:28" x14ac:dyDescent="0.3">
      <c r="A86" s="2" t="str">
        <f t="shared" si="4"/>
        <v/>
      </c>
      <c r="B86" s="2"/>
      <c r="C86" s="17"/>
      <c r="D86" s="2" t="str">
        <f t="shared" si="5"/>
        <v/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tr">
        <f t="shared" si="6"/>
        <v/>
      </c>
      <c r="V86" s="2"/>
      <c r="W86" s="2"/>
      <c r="X86" s="2"/>
      <c r="Y86" s="17"/>
      <c r="Z86" s="17"/>
      <c r="AA86" s="2" t="str">
        <f t="shared" ca="1" si="7"/>
        <v/>
      </c>
      <c r="AB86" s="2"/>
    </row>
    <row r="87" spans="1:28" x14ac:dyDescent="0.3">
      <c r="A87" s="2" t="str">
        <f t="shared" si="4"/>
        <v/>
      </c>
      <c r="B87" s="2"/>
      <c r="C87" s="17"/>
      <c r="D87" s="2" t="str">
        <f t="shared" si="5"/>
        <v/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tr">
        <f t="shared" si="6"/>
        <v/>
      </c>
      <c r="V87" s="2"/>
      <c r="W87" s="2"/>
      <c r="X87" s="2"/>
      <c r="Y87" s="17"/>
      <c r="Z87" s="17"/>
      <c r="AA87" s="2" t="str">
        <f t="shared" ca="1" si="7"/>
        <v/>
      </c>
      <c r="AB87" s="2"/>
    </row>
    <row r="88" spans="1:28" x14ac:dyDescent="0.3">
      <c r="A88" s="2" t="str">
        <f t="shared" si="4"/>
        <v/>
      </c>
      <c r="B88" s="2"/>
      <c r="C88" s="17"/>
      <c r="D88" s="2" t="str">
        <f t="shared" si="5"/>
        <v/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tr">
        <f t="shared" si="6"/>
        <v/>
      </c>
      <c r="V88" s="2"/>
      <c r="W88" s="2"/>
      <c r="X88" s="2"/>
      <c r="Y88" s="17"/>
      <c r="Z88" s="17"/>
      <c r="AA88" s="2" t="str">
        <f t="shared" ca="1" si="7"/>
        <v/>
      </c>
      <c r="AB88" s="2"/>
    </row>
    <row r="89" spans="1:28" x14ac:dyDescent="0.3">
      <c r="A89" s="2" t="str">
        <f t="shared" si="4"/>
        <v/>
      </c>
      <c r="B89" s="2"/>
      <c r="C89" s="17"/>
      <c r="D89" s="2" t="str">
        <f t="shared" si="5"/>
        <v/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tr">
        <f t="shared" si="6"/>
        <v/>
      </c>
      <c r="V89" s="2"/>
      <c r="W89" s="2"/>
      <c r="X89" s="2"/>
      <c r="Y89" s="17"/>
      <c r="Z89" s="17"/>
      <c r="AA89" s="2" t="str">
        <f t="shared" ca="1" si="7"/>
        <v/>
      </c>
      <c r="AB89" s="2"/>
    </row>
    <row r="90" spans="1:28" x14ac:dyDescent="0.3">
      <c r="A90" s="2" t="str">
        <f t="shared" si="4"/>
        <v/>
      </c>
      <c r="B90" s="2"/>
      <c r="C90" s="17"/>
      <c r="D90" s="2" t="str">
        <f t="shared" si="5"/>
        <v/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tr">
        <f t="shared" si="6"/>
        <v/>
      </c>
      <c r="V90" s="2"/>
      <c r="W90" s="2"/>
      <c r="X90" s="2"/>
      <c r="Y90" s="17"/>
      <c r="Z90" s="17"/>
      <c r="AA90" s="2" t="str">
        <f t="shared" ca="1" si="7"/>
        <v/>
      </c>
      <c r="AB90" s="2"/>
    </row>
    <row r="91" spans="1:28" x14ac:dyDescent="0.3">
      <c r="A91" s="2" t="str">
        <f t="shared" si="4"/>
        <v/>
      </c>
      <c r="B91" s="2"/>
      <c r="C91" s="17"/>
      <c r="D91" s="2" t="str">
        <f t="shared" si="5"/>
        <v/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tr">
        <f t="shared" si="6"/>
        <v/>
      </c>
      <c r="V91" s="2"/>
      <c r="W91" s="2"/>
      <c r="X91" s="2"/>
      <c r="Y91" s="17"/>
      <c r="Z91" s="17"/>
      <c r="AA91" s="2" t="str">
        <f t="shared" ca="1" si="7"/>
        <v/>
      </c>
      <c r="AB91" s="2"/>
    </row>
    <row r="92" spans="1:28" x14ac:dyDescent="0.3">
      <c r="A92" s="2" t="str">
        <f t="shared" si="4"/>
        <v/>
      </c>
      <c r="B92" s="2"/>
      <c r="C92" s="17"/>
      <c r="D92" s="2" t="str">
        <f t="shared" si="5"/>
        <v/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tr">
        <f t="shared" si="6"/>
        <v/>
      </c>
      <c r="V92" s="2"/>
      <c r="W92" s="2"/>
      <c r="X92" s="2"/>
      <c r="Y92" s="17"/>
      <c r="Z92" s="17"/>
      <c r="AA92" s="2" t="str">
        <f t="shared" ca="1" si="7"/>
        <v/>
      </c>
      <c r="AB92" s="2"/>
    </row>
    <row r="93" spans="1:28" x14ac:dyDescent="0.3">
      <c r="A93" s="2" t="str">
        <f t="shared" si="4"/>
        <v/>
      </c>
      <c r="B93" s="2"/>
      <c r="C93" s="17"/>
      <c r="D93" s="2" t="str">
        <f t="shared" si="5"/>
        <v/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tr">
        <f t="shared" si="6"/>
        <v/>
      </c>
      <c r="V93" s="2"/>
      <c r="W93" s="2"/>
      <c r="X93" s="2"/>
      <c r="Y93" s="17"/>
      <c r="Z93" s="17"/>
      <c r="AA93" s="2" t="str">
        <f t="shared" ca="1" si="7"/>
        <v/>
      </c>
      <c r="AB93" s="2"/>
    </row>
    <row r="94" spans="1:28" x14ac:dyDescent="0.3">
      <c r="A94" s="2" t="str">
        <f t="shared" si="4"/>
        <v/>
      </c>
      <c r="B94" s="2"/>
      <c r="C94" s="17"/>
      <c r="D94" s="2" t="str">
        <f t="shared" si="5"/>
        <v/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tr">
        <f t="shared" si="6"/>
        <v/>
      </c>
      <c r="V94" s="2"/>
      <c r="W94" s="2"/>
      <c r="X94" s="2"/>
      <c r="Y94" s="17"/>
      <c r="Z94" s="17"/>
      <c r="AA94" s="2" t="str">
        <f t="shared" ca="1" si="7"/>
        <v/>
      </c>
      <c r="AB94" s="2"/>
    </row>
    <row r="95" spans="1:28" x14ac:dyDescent="0.3">
      <c r="A95" s="2" t="str">
        <f t="shared" si="4"/>
        <v/>
      </c>
      <c r="B95" s="2"/>
      <c r="C95" s="17"/>
      <c r="D95" s="2" t="str">
        <f t="shared" si="5"/>
        <v/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tr">
        <f t="shared" si="6"/>
        <v/>
      </c>
      <c r="V95" s="2"/>
      <c r="W95" s="2"/>
      <c r="X95" s="2"/>
      <c r="Y95" s="17"/>
      <c r="Z95" s="17"/>
      <c r="AA95" s="2" t="str">
        <f t="shared" ca="1" si="7"/>
        <v/>
      </c>
      <c r="AB95" s="2"/>
    </row>
    <row r="96" spans="1:28" x14ac:dyDescent="0.3">
      <c r="A96" s="2" t="str">
        <f t="shared" si="4"/>
        <v/>
      </c>
      <c r="B96" s="2"/>
      <c r="C96" s="17"/>
      <c r="D96" s="2" t="str">
        <f t="shared" si="5"/>
        <v/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tr">
        <f t="shared" si="6"/>
        <v/>
      </c>
      <c r="V96" s="2"/>
      <c r="W96" s="2"/>
      <c r="X96" s="2"/>
      <c r="Y96" s="17"/>
      <c r="Z96" s="17"/>
      <c r="AA96" s="2" t="str">
        <f t="shared" ca="1" si="7"/>
        <v/>
      </c>
      <c r="AB96" s="2"/>
    </row>
    <row r="97" spans="1:28" x14ac:dyDescent="0.3">
      <c r="A97" s="2" t="str">
        <f t="shared" si="4"/>
        <v/>
      </c>
      <c r="B97" s="2"/>
      <c r="C97" s="17"/>
      <c r="D97" s="2" t="str">
        <f t="shared" si="5"/>
        <v/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tr">
        <f t="shared" si="6"/>
        <v/>
      </c>
      <c r="V97" s="2"/>
      <c r="W97" s="2"/>
      <c r="X97" s="2"/>
      <c r="Y97" s="17"/>
      <c r="Z97" s="17"/>
      <c r="AA97" s="2" t="str">
        <f t="shared" ca="1" si="7"/>
        <v/>
      </c>
      <c r="AB97" s="2"/>
    </row>
    <row r="98" spans="1:28" x14ac:dyDescent="0.3">
      <c r="A98" s="2" t="str">
        <f t="shared" si="4"/>
        <v/>
      </c>
      <c r="B98" s="2"/>
      <c r="C98" s="17"/>
      <c r="D98" s="2" t="str">
        <f t="shared" si="5"/>
        <v/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tr">
        <f t="shared" si="6"/>
        <v/>
      </c>
      <c r="V98" s="2"/>
      <c r="W98" s="2"/>
      <c r="X98" s="2"/>
      <c r="Y98" s="17"/>
      <c r="Z98" s="17"/>
      <c r="AA98" s="2" t="str">
        <f t="shared" ca="1" si="7"/>
        <v/>
      </c>
      <c r="AB98" s="2"/>
    </row>
    <row r="99" spans="1:28" x14ac:dyDescent="0.3">
      <c r="A99" s="2" t="str">
        <f t="shared" si="4"/>
        <v/>
      </c>
      <c r="B99" s="2"/>
      <c r="C99" s="17"/>
      <c r="D99" s="2" t="str">
        <f t="shared" si="5"/>
        <v/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tr">
        <f t="shared" si="6"/>
        <v/>
      </c>
      <c r="V99" s="2"/>
      <c r="W99" s="2"/>
      <c r="X99" s="2"/>
      <c r="Y99" s="17"/>
      <c r="Z99" s="17"/>
      <c r="AA99" s="2" t="str">
        <f t="shared" ca="1" si="7"/>
        <v/>
      </c>
      <c r="AB99" s="2"/>
    </row>
    <row r="100" spans="1:28" x14ac:dyDescent="0.3">
      <c r="A100" s="2" t="str">
        <f t="shared" si="4"/>
        <v/>
      </c>
      <c r="B100" s="2"/>
      <c r="C100" s="17"/>
      <c r="D100" s="2" t="str">
        <f t="shared" si="5"/>
        <v/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tr">
        <f t="shared" si="6"/>
        <v/>
      </c>
      <c r="V100" s="2"/>
      <c r="W100" s="2"/>
      <c r="X100" s="2"/>
      <c r="Y100" s="17"/>
      <c r="Z100" s="17"/>
      <c r="AA100" s="2" t="str">
        <f t="shared" ca="1" si="7"/>
        <v/>
      </c>
      <c r="AB100" s="2"/>
    </row>
    <row r="101" spans="1:28" x14ac:dyDescent="0.3">
      <c r="A101" s="2" t="str">
        <f t="shared" si="4"/>
        <v/>
      </c>
      <c r="B101" s="2"/>
      <c r="C101" s="17"/>
      <c r="D101" s="2" t="str">
        <f t="shared" si="5"/>
        <v/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tr">
        <f t="shared" si="6"/>
        <v/>
      </c>
      <c r="V101" s="2"/>
      <c r="W101" s="2"/>
      <c r="X101" s="2"/>
      <c r="Y101" s="17"/>
      <c r="Z101" s="17"/>
      <c r="AA101" s="2" t="str">
        <f t="shared" ca="1" si="7"/>
        <v/>
      </c>
      <c r="AB101" s="2"/>
    </row>
    <row r="102" spans="1:28" x14ac:dyDescent="0.3">
      <c r="A102" s="2" t="str">
        <f t="shared" si="4"/>
        <v/>
      </c>
      <c r="B102" s="2"/>
      <c r="C102" s="17"/>
      <c r="D102" s="2" t="str">
        <f t="shared" si="5"/>
        <v/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tr">
        <f t="shared" si="6"/>
        <v/>
      </c>
      <c r="V102" s="2"/>
      <c r="W102" s="2"/>
      <c r="X102" s="2"/>
      <c r="Y102" s="17"/>
      <c r="Z102" s="17"/>
      <c r="AA102" s="2" t="str">
        <f t="shared" ca="1" si="7"/>
        <v/>
      </c>
      <c r="AB102" s="2"/>
    </row>
    <row r="103" spans="1:28" x14ac:dyDescent="0.3">
      <c r="A103" s="2" t="str">
        <f t="shared" si="4"/>
        <v/>
      </c>
      <c r="B103" s="2"/>
      <c r="C103" s="17"/>
      <c r="D103" s="2" t="str">
        <f t="shared" si="5"/>
        <v/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tr">
        <f t="shared" si="6"/>
        <v/>
      </c>
      <c r="V103" s="2"/>
      <c r="W103" s="2"/>
      <c r="X103" s="2"/>
      <c r="Y103" s="17"/>
      <c r="Z103" s="17"/>
      <c r="AA103" s="2" t="str">
        <f t="shared" ca="1" si="7"/>
        <v/>
      </c>
      <c r="AB103" s="2"/>
    </row>
    <row r="104" spans="1:28" x14ac:dyDescent="0.3">
      <c r="A104" s="2" t="str">
        <f t="shared" si="4"/>
        <v/>
      </c>
      <c r="B104" s="2"/>
      <c r="C104" s="17"/>
      <c r="D104" s="2" t="str">
        <f t="shared" si="5"/>
        <v/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tr">
        <f t="shared" si="6"/>
        <v/>
      </c>
      <c r="V104" s="2"/>
      <c r="W104" s="2"/>
      <c r="X104" s="2"/>
      <c r="Y104" s="17"/>
      <c r="Z104" s="17"/>
      <c r="AA104" s="2" t="str">
        <f t="shared" ca="1" si="7"/>
        <v/>
      </c>
      <c r="AB104" s="2"/>
    </row>
    <row r="105" spans="1:28" x14ac:dyDescent="0.3">
      <c r="A105" s="2" t="str">
        <f t="shared" si="4"/>
        <v/>
      </c>
      <c r="B105" s="2"/>
      <c r="C105" s="17"/>
      <c r="D105" s="2" t="str">
        <f t="shared" si="5"/>
        <v/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tr">
        <f t="shared" si="6"/>
        <v/>
      </c>
      <c r="V105" s="2"/>
      <c r="W105" s="2"/>
      <c r="X105" s="2"/>
      <c r="Y105" s="17"/>
      <c r="Z105" s="17"/>
      <c r="AA105" s="2" t="str">
        <f t="shared" ca="1" si="7"/>
        <v/>
      </c>
      <c r="AB105" s="2"/>
    </row>
    <row r="106" spans="1:28" x14ac:dyDescent="0.3">
      <c r="A106" s="2" t="str">
        <f t="shared" si="4"/>
        <v/>
      </c>
      <c r="B106" s="2"/>
      <c r="C106" s="17"/>
      <c r="D106" s="2" t="str">
        <f t="shared" si="5"/>
        <v/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tr">
        <f t="shared" si="6"/>
        <v/>
      </c>
      <c r="V106" s="2"/>
      <c r="W106" s="2"/>
      <c r="X106" s="2"/>
      <c r="Y106" s="17"/>
      <c r="Z106" s="17"/>
      <c r="AA106" s="2" t="str">
        <f t="shared" ca="1" si="7"/>
        <v/>
      </c>
      <c r="AB106" s="2"/>
    </row>
    <row r="107" spans="1:28" x14ac:dyDescent="0.3">
      <c r="A107" s="2" t="str">
        <f t="shared" si="4"/>
        <v/>
      </c>
      <c r="B107" s="2"/>
      <c r="C107" s="17"/>
      <c r="D107" s="2" t="str">
        <f t="shared" si="5"/>
        <v/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tr">
        <f t="shared" si="6"/>
        <v/>
      </c>
      <c r="V107" s="2"/>
      <c r="W107" s="2"/>
      <c r="X107" s="2"/>
      <c r="Y107" s="17"/>
      <c r="Z107" s="17"/>
      <c r="AA107" s="2" t="str">
        <f t="shared" ca="1" si="7"/>
        <v/>
      </c>
      <c r="AB107" s="2"/>
    </row>
    <row r="108" spans="1:28" x14ac:dyDescent="0.3">
      <c r="A108" s="2" t="str">
        <f t="shared" si="4"/>
        <v/>
      </c>
      <c r="B108" s="2"/>
      <c r="C108" s="17"/>
      <c r="D108" s="2" t="str">
        <f t="shared" si="5"/>
        <v/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tr">
        <f t="shared" si="6"/>
        <v/>
      </c>
      <c r="V108" s="2"/>
      <c r="W108" s="2"/>
      <c r="X108" s="2"/>
      <c r="Y108" s="17"/>
      <c r="Z108" s="17"/>
      <c r="AA108" s="2" t="str">
        <f t="shared" ca="1" si="7"/>
        <v/>
      </c>
      <c r="AB108" s="2"/>
    </row>
    <row r="109" spans="1:28" x14ac:dyDescent="0.3">
      <c r="A109" s="2" t="str">
        <f t="shared" si="4"/>
        <v/>
      </c>
      <c r="B109" s="2"/>
      <c r="C109" s="17"/>
      <c r="D109" s="2" t="str">
        <f t="shared" si="5"/>
        <v/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tr">
        <f t="shared" si="6"/>
        <v/>
      </c>
      <c r="V109" s="2"/>
      <c r="W109" s="2"/>
      <c r="X109" s="2"/>
      <c r="Y109" s="17"/>
      <c r="Z109" s="17"/>
      <c r="AA109" s="2" t="str">
        <f t="shared" ca="1" si="7"/>
        <v/>
      </c>
      <c r="AB109" s="2"/>
    </row>
    <row r="110" spans="1:28" x14ac:dyDescent="0.3">
      <c r="A110" s="2" t="str">
        <f t="shared" si="4"/>
        <v/>
      </c>
      <c r="B110" s="2"/>
      <c r="C110" s="17"/>
      <c r="D110" s="2" t="str">
        <f t="shared" si="5"/>
        <v/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tr">
        <f t="shared" si="6"/>
        <v/>
      </c>
      <c r="V110" s="2"/>
      <c r="W110" s="2"/>
      <c r="X110" s="2"/>
      <c r="Y110" s="17"/>
      <c r="Z110" s="17"/>
      <c r="AA110" s="2" t="str">
        <f t="shared" ca="1" si="7"/>
        <v/>
      </c>
      <c r="AB110" s="2"/>
    </row>
    <row r="111" spans="1:28" x14ac:dyDescent="0.3">
      <c r="A111" s="2" t="str">
        <f t="shared" si="4"/>
        <v/>
      </c>
      <c r="B111" s="2"/>
      <c r="C111" s="17"/>
      <c r="D111" s="2" t="str">
        <f t="shared" si="5"/>
        <v/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tr">
        <f t="shared" si="6"/>
        <v/>
      </c>
      <c r="V111" s="2"/>
      <c r="W111" s="2"/>
      <c r="X111" s="2"/>
      <c r="Y111" s="17"/>
      <c r="Z111" s="17"/>
      <c r="AA111" s="2" t="str">
        <f t="shared" ca="1" si="7"/>
        <v/>
      </c>
      <c r="AB111" s="2"/>
    </row>
    <row r="112" spans="1:28" x14ac:dyDescent="0.3">
      <c r="A112" s="2" t="str">
        <f t="shared" si="4"/>
        <v/>
      </c>
      <c r="B112" s="2"/>
      <c r="C112" s="17"/>
      <c r="D112" s="2" t="str">
        <f t="shared" si="5"/>
        <v/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tr">
        <f t="shared" si="6"/>
        <v/>
      </c>
      <c r="V112" s="2"/>
      <c r="W112" s="2"/>
      <c r="X112" s="2"/>
      <c r="Y112" s="17"/>
      <c r="Z112" s="17"/>
      <c r="AA112" s="2" t="str">
        <f t="shared" ca="1" si="7"/>
        <v/>
      </c>
      <c r="AB112" s="2"/>
    </row>
    <row r="113" spans="1:28" x14ac:dyDescent="0.3">
      <c r="A113" s="2" t="str">
        <f t="shared" si="4"/>
        <v/>
      </c>
      <c r="B113" s="2"/>
      <c r="C113" s="17"/>
      <c r="D113" s="2" t="str">
        <f t="shared" si="5"/>
        <v/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tr">
        <f t="shared" si="6"/>
        <v/>
      </c>
      <c r="V113" s="2"/>
      <c r="W113" s="2"/>
      <c r="X113" s="2"/>
      <c r="Y113" s="17"/>
      <c r="Z113" s="17"/>
      <c r="AA113" s="2" t="str">
        <f t="shared" ca="1" si="7"/>
        <v/>
      </c>
      <c r="AB113" s="2"/>
    </row>
    <row r="114" spans="1:28" x14ac:dyDescent="0.3">
      <c r="A114" s="2" t="str">
        <f t="shared" si="4"/>
        <v/>
      </c>
      <c r="B114" s="2"/>
      <c r="C114" s="17"/>
      <c r="D114" s="2" t="str">
        <f t="shared" si="5"/>
        <v/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tr">
        <f t="shared" si="6"/>
        <v/>
      </c>
      <c r="V114" s="2"/>
      <c r="W114" s="2"/>
      <c r="X114" s="2"/>
      <c r="Y114" s="17"/>
      <c r="Z114" s="17"/>
      <c r="AA114" s="2" t="str">
        <f t="shared" ca="1" si="7"/>
        <v/>
      </c>
      <c r="AB114" s="2"/>
    </row>
    <row r="115" spans="1:28" x14ac:dyDescent="0.3">
      <c r="A115" s="2" t="str">
        <f t="shared" si="4"/>
        <v/>
      </c>
      <c r="B115" s="2"/>
      <c r="C115" s="17"/>
      <c r="D115" s="2" t="str">
        <f t="shared" si="5"/>
        <v/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tr">
        <f t="shared" si="6"/>
        <v/>
      </c>
      <c r="V115" s="2"/>
      <c r="W115" s="2"/>
      <c r="X115" s="2"/>
      <c r="Y115" s="17"/>
      <c r="Z115" s="17"/>
      <c r="AA115" s="2" t="str">
        <f t="shared" ca="1" si="7"/>
        <v/>
      </c>
      <c r="AB115" s="2"/>
    </row>
    <row r="116" spans="1:28" x14ac:dyDescent="0.3">
      <c r="A116" s="2" t="str">
        <f t="shared" si="4"/>
        <v/>
      </c>
      <c r="B116" s="2"/>
      <c r="C116" s="17"/>
      <c r="D116" s="2" t="str">
        <f t="shared" si="5"/>
        <v/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tr">
        <f t="shared" si="6"/>
        <v/>
      </c>
      <c r="V116" s="2"/>
      <c r="W116" s="2"/>
      <c r="X116" s="2"/>
      <c r="Y116" s="17"/>
      <c r="Z116" s="17"/>
      <c r="AA116" s="2" t="str">
        <f t="shared" ca="1" si="7"/>
        <v/>
      </c>
      <c r="AB116" s="2"/>
    </row>
    <row r="117" spans="1:28" x14ac:dyDescent="0.3">
      <c r="A117" s="2" t="str">
        <f t="shared" si="4"/>
        <v/>
      </c>
      <c r="B117" s="2"/>
      <c r="C117" s="17"/>
      <c r="D117" s="2" t="str">
        <f t="shared" si="5"/>
        <v/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tr">
        <f t="shared" si="6"/>
        <v/>
      </c>
      <c r="V117" s="2"/>
      <c r="W117" s="2"/>
      <c r="X117" s="2"/>
      <c r="Y117" s="17"/>
      <c r="Z117" s="17"/>
      <c r="AA117" s="2" t="str">
        <f t="shared" ca="1" si="7"/>
        <v/>
      </c>
      <c r="AB117" s="2"/>
    </row>
    <row r="118" spans="1:28" x14ac:dyDescent="0.3">
      <c r="A118" s="2" t="str">
        <f t="shared" si="4"/>
        <v/>
      </c>
      <c r="B118" s="2"/>
      <c r="C118" s="17"/>
      <c r="D118" s="2" t="str">
        <f t="shared" si="5"/>
        <v/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tr">
        <f t="shared" si="6"/>
        <v/>
      </c>
      <c r="V118" s="2"/>
      <c r="W118" s="2"/>
      <c r="X118" s="2"/>
      <c r="Y118" s="17"/>
      <c r="Z118" s="17"/>
      <c r="AA118" s="2" t="str">
        <f t="shared" ca="1" si="7"/>
        <v/>
      </c>
      <c r="AB118" s="2"/>
    </row>
    <row r="119" spans="1:28" x14ac:dyDescent="0.3">
      <c r="A119" s="2" t="str">
        <f t="shared" si="4"/>
        <v/>
      </c>
      <c r="B119" s="2"/>
      <c r="C119" s="17"/>
      <c r="D119" s="2" t="str">
        <f t="shared" si="5"/>
        <v/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tr">
        <f t="shared" si="6"/>
        <v/>
      </c>
      <c r="V119" s="2"/>
      <c r="W119" s="2"/>
      <c r="X119" s="2"/>
      <c r="Y119" s="17"/>
      <c r="Z119" s="17"/>
      <c r="AA119" s="2" t="str">
        <f t="shared" ca="1" si="7"/>
        <v/>
      </c>
      <c r="AB119" s="2"/>
    </row>
    <row r="120" spans="1:28" x14ac:dyDescent="0.3">
      <c r="A120" s="2" t="str">
        <f t="shared" si="4"/>
        <v/>
      </c>
      <c r="B120" s="2"/>
      <c r="C120" s="17"/>
      <c r="D120" s="2" t="str">
        <f t="shared" si="5"/>
        <v/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tr">
        <f t="shared" si="6"/>
        <v/>
      </c>
      <c r="V120" s="2"/>
      <c r="W120" s="2"/>
      <c r="X120" s="2"/>
      <c r="Y120" s="17"/>
      <c r="Z120" s="17"/>
      <c r="AA120" s="2" t="str">
        <f t="shared" ca="1" si="7"/>
        <v/>
      </c>
      <c r="AB120" s="2"/>
    </row>
    <row r="121" spans="1:28" x14ac:dyDescent="0.3">
      <c r="A121" s="2" t="str">
        <f t="shared" si="4"/>
        <v/>
      </c>
      <c r="B121" s="2"/>
      <c r="C121" s="17"/>
      <c r="D121" s="2" t="str">
        <f t="shared" si="5"/>
        <v/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tr">
        <f t="shared" si="6"/>
        <v/>
      </c>
      <c r="V121" s="2"/>
      <c r="W121" s="2"/>
      <c r="X121" s="2"/>
      <c r="Y121" s="17"/>
      <c r="Z121" s="17"/>
      <c r="AA121" s="2" t="str">
        <f t="shared" ca="1" si="7"/>
        <v/>
      </c>
      <c r="AB121" s="2"/>
    </row>
    <row r="122" spans="1:28" x14ac:dyDescent="0.3">
      <c r="A122" s="2" t="str">
        <f t="shared" si="4"/>
        <v/>
      </c>
      <c r="B122" s="2"/>
      <c r="C122" s="17"/>
      <c r="D122" s="2" t="str">
        <f t="shared" si="5"/>
        <v/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tr">
        <f t="shared" si="6"/>
        <v/>
      </c>
      <c r="V122" s="2"/>
      <c r="W122" s="2"/>
      <c r="X122" s="2"/>
      <c r="Y122" s="17"/>
      <c r="Z122" s="17"/>
      <c r="AA122" s="2" t="str">
        <f t="shared" ca="1" si="7"/>
        <v/>
      </c>
      <c r="AB122" s="2"/>
    </row>
    <row r="123" spans="1:28" x14ac:dyDescent="0.3">
      <c r="A123" s="2" t="str">
        <f t="shared" si="4"/>
        <v/>
      </c>
      <c r="B123" s="2"/>
      <c r="C123" s="17"/>
      <c r="D123" s="2" t="str">
        <f t="shared" si="5"/>
        <v/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tr">
        <f t="shared" si="6"/>
        <v/>
      </c>
      <c r="V123" s="2"/>
      <c r="W123" s="2"/>
      <c r="X123" s="2"/>
      <c r="Y123" s="17"/>
      <c r="Z123" s="17"/>
      <c r="AA123" s="2" t="str">
        <f t="shared" ca="1" si="7"/>
        <v/>
      </c>
      <c r="AB123" s="2"/>
    </row>
    <row r="124" spans="1:28" x14ac:dyDescent="0.3">
      <c r="A124" s="2" t="str">
        <f t="shared" si="4"/>
        <v/>
      </c>
      <c r="B124" s="2"/>
      <c r="C124" s="17"/>
      <c r="D124" s="2" t="str">
        <f t="shared" si="5"/>
        <v/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tr">
        <f t="shared" si="6"/>
        <v/>
      </c>
      <c r="V124" s="2"/>
      <c r="W124" s="2"/>
      <c r="X124" s="2"/>
      <c r="Y124" s="17"/>
      <c r="Z124" s="17"/>
      <c r="AA124" s="2" t="str">
        <f t="shared" ca="1" si="7"/>
        <v/>
      </c>
      <c r="AB124" s="2"/>
    </row>
    <row r="125" spans="1:28" x14ac:dyDescent="0.3">
      <c r="A125" s="2" t="str">
        <f t="shared" si="4"/>
        <v/>
      </c>
      <c r="B125" s="2"/>
      <c r="C125" s="17"/>
      <c r="D125" s="2" t="str">
        <f t="shared" si="5"/>
        <v/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tr">
        <f t="shared" si="6"/>
        <v/>
      </c>
      <c r="V125" s="2"/>
      <c r="W125" s="2"/>
      <c r="X125" s="2"/>
      <c r="Y125" s="17"/>
      <c r="Z125" s="17"/>
      <c r="AA125" s="2" t="str">
        <f t="shared" ca="1" si="7"/>
        <v/>
      </c>
      <c r="AB125" s="2"/>
    </row>
    <row r="126" spans="1:28" x14ac:dyDescent="0.3">
      <c r="A126" s="2" t="str">
        <f t="shared" si="4"/>
        <v/>
      </c>
      <c r="B126" s="2"/>
      <c r="C126" s="17"/>
      <c r="D126" s="2" t="str">
        <f t="shared" si="5"/>
        <v/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tr">
        <f t="shared" si="6"/>
        <v/>
      </c>
      <c r="V126" s="2"/>
      <c r="W126" s="2"/>
      <c r="X126" s="2"/>
      <c r="Y126" s="17"/>
      <c r="Z126" s="17"/>
      <c r="AA126" s="2" t="str">
        <f t="shared" ca="1" si="7"/>
        <v/>
      </c>
      <c r="AB126" s="2"/>
    </row>
    <row r="127" spans="1:28" x14ac:dyDescent="0.3">
      <c r="A127" s="2" t="str">
        <f t="shared" si="4"/>
        <v/>
      </c>
      <c r="B127" s="2"/>
      <c r="C127" s="17"/>
      <c r="D127" s="2" t="str">
        <f t="shared" si="5"/>
        <v/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tr">
        <f t="shared" si="6"/>
        <v/>
      </c>
      <c r="V127" s="2"/>
      <c r="W127" s="2"/>
      <c r="X127" s="2"/>
      <c r="Y127" s="17"/>
      <c r="Z127" s="17"/>
      <c r="AA127" s="2" t="str">
        <f t="shared" ca="1" si="7"/>
        <v/>
      </c>
      <c r="AB127" s="2"/>
    </row>
    <row r="128" spans="1:28" x14ac:dyDescent="0.3">
      <c r="A128" s="2" t="str">
        <f t="shared" si="4"/>
        <v/>
      </c>
      <c r="B128" s="2"/>
      <c r="C128" s="17"/>
      <c r="D128" s="2" t="str">
        <f t="shared" si="5"/>
        <v/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tr">
        <f t="shared" si="6"/>
        <v/>
      </c>
      <c r="V128" s="2"/>
      <c r="W128" s="2"/>
      <c r="X128" s="2"/>
      <c r="Y128" s="17"/>
      <c r="Z128" s="17"/>
      <c r="AA128" s="2" t="str">
        <f t="shared" ca="1" si="7"/>
        <v/>
      </c>
      <c r="AB128" s="2"/>
    </row>
    <row r="129" spans="1:28" x14ac:dyDescent="0.3">
      <c r="A129" s="2" t="str">
        <f t="shared" si="4"/>
        <v/>
      </c>
      <c r="B129" s="2"/>
      <c r="C129" s="17"/>
      <c r="D129" s="2" t="str">
        <f t="shared" si="5"/>
        <v/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tr">
        <f t="shared" si="6"/>
        <v/>
      </c>
      <c r="V129" s="2"/>
      <c r="W129" s="2"/>
      <c r="X129" s="2"/>
      <c r="Y129" s="17"/>
      <c r="Z129" s="17"/>
      <c r="AA129" s="2" t="str">
        <f t="shared" ca="1" si="7"/>
        <v/>
      </c>
      <c r="AB129" s="2"/>
    </row>
    <row r="130" spans="1:28" x14ac:dyDescent="0.3">
      <c r="A130" s="2" t="str">
        <f t="shared" ref="A130:A193" si="8">IF(C130="","",ROW()-1)</f>
        <v/>
      </c>
      <c r="B130" s="2"/>
      <c r="C130" s="17"/>
      <c r="D130" s="2" t="str">
        <f t="shared" ref="D130:D193" si="9">IF(C130="","",TEXT(C130,"mmm-yy"))</f>
        <v/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tr">
        <f t="shared" ref="U130:U193" si="10">IF(OR(N130="Y",N130="Yes"),S130,"")</f>
        <v/>
      </c>
      <c r="V130" s="2"/>
      <c r="W130" s="2"/>
      <c r="X130" s="2"/>
      <c r="Y130" s="17"/>
      <c r="Z130" s="17"/>
      <c r="AA130" s="2" t="str">
        <f t="shared" ref="AA130:AA193" ca="1" si="11">IF(C130="","",IF(Z130&lt;&gt;"","Closed",IF(Y130&lt;TODAY(),"Overdue","Open")))</f>
        <v/>
      </c>
      <c r="AB130" s="2"/>
    </row>
    <row r="131" spans="1:28" x14ac:dyDescent="0.3">
      <c r="A131" s="2" t="str">
        <f t="shared" si="8"/>
        <v/>
      </c>
      <c r="B131" s="2"/>
      <c r="C131" s="17"/>
      <c r="D131" s="2" t="str">
        <f t="shared" si="9"/>
        <v/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tr">
        <f t="shared" si="10"/>
        <v/>
      </c>
      <c r="V131" s="2"/>
      <c r="W131" s="2"/>
      <c r="X131" s="2"/>
      <c r="Y131" s="17"/>
      <c r="Z131" s="17"/>
      <c r="AA131" s="2" t="str">
        <f t="shared" ca="1" si="11"/>
        <v/>
      </c>
      <c r="AB131" s="2"/>
    </row>
    <row r="132" spans="1:28" x14ac:dyDescent="0.3">
      <c r="A132" s="2" t="str">
        <f t="shared" si="8"/>
        <v/>
      </c>
      <c r="B132" s="2"/>
      <c r="C132" s="17"/>
      <c r="D132" s="2" t="str">
        <f t="shared" si="9"/>
        <v/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tr">
        <f t="shared" si="10"/>
        <v/>
      </c>
      <c r="V132" s="2"/>
      <c r="W132" s="2"/>
      <c r="X132" s="2"/>
      <c r="Y132" s="17"/>
      <c r="Z132" s="17"/>
      <c r="AA132" s="2" t="str">
        <f t="shared" ca="1" si="11"/>
        <v/>
      </c>
      <c r="AB132" s="2"/>
    </row>
    <row r="133" spans="1:28" x14ac:dyDescent="0.3">
      <c r="A133" s="2" t="str">
        <f t="shared" si="8"/>
        <v/>
      </c>
      <c r="B133" s="2"/>
      <c r="C133" s="17"/>
      <c r="D133" s="2" t="str">
        <f t="shared" si="9"/>
        <v/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tr">
        <f t="shared" si="10"/>
        <v/>
      </c>
      <c r="V133" s="2"/>
      <c r="W133" s="2"/>
      <c r="X133" s="2"/>
      <c r="Y133" s="17"/>
      <c r="Z133" s="17"/>
      <c r="AA133" s="2" t="str">
        <f t="shared" ca="1" si="11"/>
        <v/>
      </c>
      <c r="AB133" s="2"/>
    </row>
    <row r="134" spans="1:28" x14ac:dyDescent="0.3">
      <c r="A134" s="2" t="str">
        <f t="shared" si="8"/>
        <v/>
      </c>
      <c r="B134" s="2"/>
      <c r="C134" s="17"/>
      <c r="D134" s="2" t="str">
        <f t="shared" si="9"/>
        <v/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tr">
        <f t="shared" si="10"/>
        <v/>
      </c>
      <c r="V134" s="2"/>
      <c r="W134" s="2"/>
      <c r="X134" s="2"/>
      <c r="Y134" s="17"/>
      <c r="Z134" s="17"/>
      <c r="AA134" s="2" t="str">
        <f t="shared" ca="1" si="11"/>
        <v/>
      </c>
      <c r="AB134" s="2"/>
    </row>
    <row r="135" spans="1:28" x14ac:dyDescent="0.3">
      <c r="A135" s="2" t="str">
        <f t="shared" si="8"/>
        <v/>
      </c>
      <c r="B135" s="2"/>
      <c r="C135" s="17"/>
      <c r="D135" s="2" t="str">
        <f t="shared" si="9"/>
        <v/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tr">
        <f t="shared" si="10"/>
        <v/>
      </c>
      <c r="V135" s="2"/>
      <c r="W135" s="2"/>
      <c r="X135" s="2"/>
      <c r="Y135" s="17"/>
      <c r="Z135" s="17"/>
      <c r="AA135" s="2" t="str">
        <f t="shared" ca="1" si="11"/>
        <v/>
      </c>
      <c r="AB135" s="2"/>
    </row>
    <row r="136" spans="1:28" x14ac:dyDescent="0.3">
      <c r="A136" s="2" t="str">
        <f t="shared" si="8"/>
        <v/>
      </c>
      <c r="B136" s="2"/>
      <c r="C136" s="17"/>
      <c r="D136" s="2" t="str">
        <f t="shared" si="9"/>
        <v/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tr">
        <f t="shared" si="10"/>
        <v/>
      </c>
      <c r="V136" s="2"/>
      <c r="W136" s="2"/>
      <c r="X136" s="2"/>
      <c r="Y136" s="17"/>
      <c r="Z136" s="17"/>
      <c r="AA136" s="2" t="str">
        <f t="shared" ca="1" si="11"/>
        <v/>
      </c>
      <c r="AB136" s="2"/>
    </row>
    <row r="137" spans="1:28" x14ac:dyDescent="0.3">
      <c r="A137" s="2" t="str">
        <f t="shared" si="8"/>
        <v/>
      </c>
      <c r="B137" s="2"/>
      <c r="C137" s="17"/>
      <c r="D137" s="2" t="str">
        <f t="shared" si="9"/>
        <v/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tr">
        <f t="shared" si="10"/>
        <v/>
      </c>
      <c r="V137" s="2"/>
      <c r="W137" s="2"/>
      <c r="X137" s="2"/>
      <c r="Y137" s="17"/>
      <c r="Z137" s="17"/>
      <c r="AA137" s="2" t="str">
        <f t="shared" ca="1" si="11"/>
        <v/>
      </c>
      <c r="AB137" s="2"/>
    </row>
    <row r="138" spans="1:28" x14ac:dyDescent="0.3">
      <c r="A138" s="2" t="str">
        <f t="shared" si="8"/>
        <v/>
      </c>
      <c r="B138" s="2"/>
      <c r="C138" s="17"/>
      <c r="D138" s="2" t="str">
        <f t="shared" si="9"/>
        <v/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tr">
        <f t="shared" si="10"/>
        <v/>
      </c>
      <c r="V138" s="2"/>
      <c r="W138" s="2"/>
      <c r="X138" s="2"/>
      <c r="Y138" s="17"/>
      <c r="Z138" s="17"/>
      <c r="AA138" s="2" t="str">
        <f t="shared" ca="1" si="11"/>
        <v/>
      </c>
      <c r="AB138" s="2"/>
    </row>
    <row r="139" spans="1:28" x14ac:dyDescent="0.3">
      <c r="A139" s="2" t="str">
        <f t="shared" si="8"/>
        <v/>
      </c>
      <c r="B139" s="2"/>
      <c r="C139" s="17"/>
      <c r="D139" s="2" t="str">
        <f t="shared" si="9"/>
        <v/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tr">
        <f t="shared" si="10"/>
        <v/>
      </c>
      <c r="V139" s="2"/>
      <c r="W139" s="2"/>
      <c r="X139" s="2"/>
      <c r="Y139" s="17"/>
      <c r="Z139" s="17"/>
      <c r="AA139" s="2" t="str">
        <f t="shared" ca="1" si="11"/>
        <v/>
      </c>
      <c r="AB139" s="2"/>
    </row>
    <row r="140" spans="1:28" x14ac:dyDescent="0.3">
      <c r="A140" s="2" t="str">
        <f t="shared" si="8"/>
        <v/>
      </c>
      <c r="B140" s="2"/>
      <c r="C140" s="17"/>
      <c r="D140" s="2" t="str">
        <f t="shared" si="9"/>
        <v/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tr">
        <f t="shared" si="10"/>
        <v/>
      </c>
      <c r="V140" s="2"/>
      <c r="W140" s="2"/>
      <c r="X140" s="2"/>
      <c r="Y140" s="17"/>
      <c r="Z140" s="17"/>
      <c r="AA140" s="2" t="str">
        <f t="shared" ca="1" si="11"/>
        <v/>
      </c>
      <c r="AB140" s="2"/>
    </row>
    <row r="141" spans="1:28" x14ac:dyDescent="0.3">
      <c r="A141" s="2" t="str">
        <f t="shared" si="8"/>
        <v/>
      </c>
      <c r="B141" s="2"/>
      <c r="C141" s="17"/>
      <c r="D141" s="2" t="str">
        <f t="shared" si="9"/>
        <v/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tr">
        <f t="shared" si="10"/>
        <v/>
      </c>
      <c r="V141" s="2"/>
      <c r="W141" s="2"/>
      <c r="X141" s="2"/>
      <c r="Y141" s="17"/>
      <c r="Z141" s="17"/>
      <c r="AA141" s="2" t="str">
        <f t="shared" ca="1" si="11"/>
        <v/>
      </c>
      <c r="AB141" s="2"/>
    </row>
    <row r="142" spans="1:28" x14ac:dyDescent="0.3">
      <c r="A142" s="2" t="str">
        <f t="shared" si="8"/>
        <v/>
      </c>
      <c r="B142" s="2"/>
      <c r="C142" s="17"/>
      <c r="D142" s="2" t="str">
        <f t="shared" si="9"/>
        <v/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tr">
        <f t="shared" si="10"/>
        <v/>
      </c>
      <c r="V142" s="2"/>
      <c r="W142" s="2"/>
      <c r="X142" s="2"/>
      <c r="Y142" s="17"/>
      <c r="Z142" s="17"/>
      <c r="AA142" s="2" t="str">
        <f t="shared" ca="1" si="11"/>
        <v/>
      </c>
      <c r="AB142" s="2"/>
    </row>
    <row r="143" spans="1:28" x14ac:dyDescent="0.3">
      <c r="A143" s="2" t="str">
        <f t="shared" si="8"/>
        <v/>
      </c>
      <c r="B143" s="2"/>
      <c r="C143" s="17"/>
      <c r="D143" s="2" t="str">
        <f t="shared" si="9"/>
        <v/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tr">
        <f t="shared" si="10"/>
        <v/>
      </c>
      <c r="V143" s="2"/>
      <c r="W143" s="2"/>
      <c r="X143" s="2"/>
      <c r="Y143" s="17"/>
      <c r="Z143" s="17"/>
      <c r="AA143" s="2" t="str">
        <f t="shared" ca="1" si="11"/>
        <v/>
      </c>
      <c r="AB143" s="2"/>
    </row>
    <row r="144" spans="1:28" x14ac:dyDescent="0.3">
      <c r="A144" s="2" t="str">
        <f t="shared" si="8"/>
        <v/>
      </c>
      <c r="B144" s="2"/>
      <c r="C144" s="17"/>
      <c r="D144" s="2" t="str">
        <f t="shared" si="9"/>
        <v/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tr">
        <f t="shared" si="10"/>
        <v/>
      </c>
      <c r="V144" s="2"/>
      <c r="W144" s="2"/>
      <c r="X144" s="2"/>
      <c r="Y144" s="17"/>
      <c r="Z144" s="17"/>
      <c r="AA144" s="2" t="str">
        <f t="shared" ca="1" si="11"/>
        <v/>
      </c>
      <c r="AB144" s="2"/>
    </row>
    <row r="145" spans="1:28" x14ac:dyDescent="0.3">
      <c r="A145" s="2" t="str">
        <f t="shared" si="8"/>
        <v/>
      </c>
      <c r="B145" s="2"/>
      <c r="C145" s="17"/>
      <c r="D145" s="2" t="str">
        <f t="shared" si="9"/>
        <v/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tr">
        <f t="shared" si="10"/>
        <v/>
      </c>
      <c r="V145" s="2"/>
      <c r="W145" s="2"/>
      <c r="X145" s="2"/>
      <c r="Y145" s="17"/>
      <c r="Z145" s="17"/>
      <c r="AA145" s="2" t="str">
        <f t="shared" ca="1" si="11"/>
        <v/>
      </c>
      <c r="AB145" s="2"/>
    </row>
    <row r="146" spans="1:28" x14ac:dyDescent="0.3">
      <c r="A146" s="2" t="str">
        <f t="shared" si="8"/>
        <v/>
      </c>
      <c r="B146" s="2"/>
      <c r="C146" s="17"/>
      <c r="D146" s="2" t="str">
        <f t="shared" si="9"/>
        <v/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tr">
        <f t="shared" si="10"/>
        <v/>
      </c>
      <c r="V146" s="2"/>
      <c r="W146" s="2"/>
      <c r="X146" s="2"/>
      <c r="Y146" s="17"/>
      <c r="Z146" s="17"/>
      <c r="AA146" s="2" t="str">
        <f t="shared" ca="1" si="11"/>
        <v/>
      </c>
      <c r="AB146" s="2"/>
    </row>
    <row r="147" spans="1:28" x14ac:dyDescent="0.3">
      <c r="A147" s="2" t="str">
        <f t="shared" si="8"/>
        <v/>
      </c>
      <c r="B147" s="2"/>
      <c r="C147" s="17"/>
      <c r="D147" s="2" t="str">
        <f t="shared" si="9"/>
        <v/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tr">
        <f t="shared" si="10"/>
        <v/>
      </c>
      <c r="V147" s="2"/>
      <c r="W147" s="2"/>
      <c r="X147" s="2"/>
      <c r="Y147" s="17"/>
      <c r="Z147" s="17"/>
      <c r="AA147" s="2" t="str">
        <f t="shared" ca="1" si="11"/>
        <v/>
      </c>
      <c r="AB147" s="2"/>
    </row>
    <row r="148" spans="1:28" x14ac:dyDescent="0.3">
      <c r="A148" s="2" t="str">
        <f t="shared" si="8"/>
        <v/>
      </c>
      <c r="B148" s="2"/>
      <c r="C148" s="17"/>
      <c r="D148" s="2" t="str">
        <f t="shared" si="9"/>
        <v/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tr">
        <f t="shared" si="10"/>
        <v/>
      </c>
      <c r="V148" s="2"/>
      <c r="W148" s="2"/>
      <c r="X148" s="2"/>
      <c r="Y148" s="17"/>
      <c r="Z148" s="17"/>
      <c r="AA148" s="2" t="str">
        <f t="shared" ca="1" si="11"/>
        <v/>
      </c>
      <c r="AB148" s="2"/>
    </row>
    <row r="149" spans="1:28" x14ac:dyDescent="0.3">
      <c r="A149" s="2" t="str">
        <f t="shared" si="8"/>
        <v/>
      </c>
      <c r="B149" s="2"/>
      <c r="C149" s="17"/>
      <c r="D149" s="2" t="str">
        <f t="shared" si="9"/>
        <v/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tr">
        <f t="shared" si="10"/>
        <v/>
      </c>
      <c r="V149" s="2"/>
      <c r="W149" s="2"/>
      <c r="X149" s="2"/>
      <c r="Y149" s="17"/>
      <c r="Z149" s="17"/>
      <c r="AA149" s="2" t="str">
        <f t="shared" ca="1" si="11"/>
        <v/>
      </c>
      <c r="AB149" s="2"/>
    </row>
    <row r="150" spans="1:28" x14ac:dyDescent="0.3">
      <c r="A150" s="2" t="str">
        <f t="shared" si="8"/>
        <v/>
      </c>
      <c r="B150" s="2"/>
      <c r="C150" s="17"/>
      <c r="D150" s="2" t="str">
        <f t="shared" si="9"/>
        <v/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tr">
        <f t="shared" si="10"/>
        <v/>
      </c>
      <c r="V150" s="2"/>
      <c r="W150" s="2"/>
      <c r="X150" s="2"/>
      <c r="Y150" s="17"/>
      <c r="Z150" s="17"/>
      <c r="AA150" s="2" t="str">
        <f t="shared" ca="1" si="11"/>
        <v/>
      </c>
      <c r="AB150" s="2"/>
    </row>
    <row r="151" spans="1:28" x14ac:dyDescent="0.3">
      <c r="A151" s="2" t="str">
        <f t="shared" si="8"/>
        <v/>
      </c>
      <c r="B151" s="2"/>
      <c r="C151" s="17"/>
      <c r="D151" s="2" t="str">
        <f t="shared" si="9"/>
        <v/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tr">
        <f t="shared" si="10"/>
        <v/>
      </c>
      <c r="V151" s="2"/>
      <c r="W151" s="2"/>
      <c r="X151" s="2"/>
      <c r="Y151" s="17"/>
      <c r="Z151" s="17"/>
      <c r="AA151" s="2" t="str">
        <f t="shared" ca="1" si="11"/>
        <v/>
      </c>
      <c r="AB151" s="2"/>
    </row>
    <row r="152" spans="1:28" x14ac:dyDescent="0.3">
      <c r="A152" s="2" t="str">
        <f t="shared" si="8"/>
        <v/>
      </c>
      <c r="B152" s="2"/>
      <c r="C152" s="17"/>
      <c r="D152" s="2" t="str">
        <f t="shared" si="9"/>
        <v/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tr">
        <f t="shared" si="10"/>
        <v/>
      </c>
      <c r="V152" s="2"/>
      <c r="W152" s="2"/>
      <c r="X152" s="2"/>
      <c r="Y152" s="17"/>
      <c r="Z152" s="17"/>
      <c r="AA152" s="2" t="str">
        <f t="shared" ca="1" si="11"/>
        <v/>
      </c>
      <c r="AB152" s="2"/>
    </row>
    <row r="153" spans="1:28" x14ac:dyDescent="0.3">
      <c r="A153" s="2" t="str">
        <f t="shared" si="8"/>
        <v/>
      </c>
      <c r="B153" s="2"/>
      <c r="C153" s="17"/>
      <c r="D153" s="2" t="str">
        <f t="shared" si="9"/>
        <v/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tr">
        <f t="shared" si="10"/>
        <v/>
      </c>
      <c r="V153" s="2"/>
      <c r="W153" s="2"/>
      <c r="X153" s="2"/>
      <c r="Y153" s="17"/>
      <c r="Z153" s="17"/>
      <c r="AA153" s="2" t="str">
        <f t="shared" ca="1" si="11"/>
        <v/>
      </c>
      <c r="AB153" s="2"/>
    </row>
    <row r="154" spans="1:28" x14ac:dyDescent="0.3">
      <c r="A154" s="2" t="str">
        <f t="shared" si="8"/>
        <v/>
      </c>
      <c r="B154" s="2"/>
      <c r="C154" s="17"/>
      <c r="D154" s="2" t="str">
        <f t="shared" si="9"/>
        <v/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tr">
        <f t="shared" si="10"/>
        <v/>
      </c>
      <c r="V154" s="2"/>
      <c r="W154" s="2"/>
      <c r="X154" s="2"/>
      <c r="Y154" s="17"/>
      <c r="Z154" s="17"/>
      <c r="AA154" s="2" t="str">
        <f t="shared" ca="1" si="11"/>
        <v/>
      </c>
      <c r="AB154" s="2"/>
    </row>
    <row r="155" spans="1:28" x14ac:dyDescent="0.3">
      <c r="A155" s="2" t="str">
        <f t="shared" si="8"/>
        <v/>
      </c>
      <c r="B155" s="2"/>
      <c r="C155" s="17"/>
      <c r="D155" s="2" t="str">
        <f t="shared" si="9"/>
        <v/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tr">
        <f t="shared" si="10"/>
        <v/>
      </c>
      <c r="V155" s="2"/>
      <c r="W155" s="2"/>
      <c r="X155" s="2"/>
      <c r="Y155" s="17"/>
      <c r="Z155" s="17"/>
      <c r="AA155" s="2" t="str">
        <f t="shared" ca="1" si="11"/>
        <v/>
      </c>
      <c r="AB155" s="2"/>
    </row>
    <row r="156" spans="1:28" x14ac:dyDescent="0.3">
      <c r="A156" s="2" t="str">
        <f t="shared" si="8"/>
        <v/>
      </c>
      <c r="B156" s="2"/>
      <c r="C156" s="17"/>
      <c r="D156" s="2" t="str">
        <f t="shared" si="9"/>
        <v/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tr">
        <f t="shared" si="10"/>
        <v/>
      </c>
      <c r="V156" s="2"/>
      <c r="W156" s="2"/>
      <c r="X156" s="2"/>
      <c r="Y156" s="17"/>
      <c r="Z156" s="17"/>
      <c r="AA156" s="2" t="str">
        <f t="shared" ca="1" si="11"/>
        <v/>
      </c>
      <c r="AB156" s="2"/>
    </row>
    <row r="157" spans="1:28" x14ac:dyDescent="0.3">
      <c r="A157" s="2" t="str">
        <f t="shared" si="8"/>
        <v/>
      </c>
      <c r="B157" s="2"/>
      <c r="C157" s="17"/>
      <c r="D157" s="2" t="str">
        <f t="shared" si="9"/>
        <v/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 t="str">
        <f t="shared" si="10"/>
        <v/>
      </c>
      <c r="V157" s="2"/>
      <c r="W157" s="2"/>
      <c r="X157" s="2"/>
      <c r="Y157" s="17"/>
      <c r="Z157" s="17"/>
      <c r="AA157" s="2" t="str">
        <f t="shared" ca="1" si="11"/>
        <v/>
      </c>
      <c r="AB157" s="2"/>
    </row>
    <row r="158" spans="1:28" x14ac:dyDescent="0.3">
      <c r="A158" s="2" t="str">
        <f t="shared" si="8"/>
        <v/>
      </c>
      <c r="B158" s="2"/>
      <c r="C158" s="17"/>
      <c r="D158" s="2" t="str">
        <f t="shared" si="9"/>
        <v/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tr">
        <f t="shared" si="10"/>
        <v/>
      </c>
      <c r="V158" s="2"/>
      <c r="W158" s="2"/>
      <c r="X158" s="2"/>
      <c r="Y158" s="17"/>
      <c r="Z158" s="17"/>
      <c r="AA158" s="2" t="str">
        <f t="shared" ca="1" si="11"/>
        <v/>
      </c>
      <c r="AB158" s="2"/>
    </row>
    <row r="159" spans="1:28" x14ac:dyDescent="0.3">
      <c r="A159" s="2" t="str">
        <f t="shared" si="8"/>
        <v/>
      </c>
      <c r="B159" s="2"/>
      <c r="C159" s="17"/>
      <c r="D159" s="2" t="str">
        <f t="shared" si="9"/>
        <v/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tr">
        <f t="shared" si="10"/>
        <v/>
      </c>
      <c r="V159" s="2"/>
      <c r="W159" s="2"/>
      <c r="X159" s="2"/>
      <c r="Y159" s="17"/>
      <c r="Z159" s="17"/>
      <c r="AA159" s="2" t="str">
        <f t="shared" ca="1" si="11"/>
        <v/>
      </c>
      <c r="AB159" s="2"/>
    </row>
    <row r="160" spans="1:28" x14ac:dyDescent="0.3">
      <c r="A160" s="2" t="str">
        <f t="shared" si="8"/>
        <v/>
      </c>
      <c r="B160" s="2"/>
      <c r="C160" s="17"/>
      <c r="D160" s="2" t="str">
        <f t="shared" si="9"/>
        <v/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tr">
        <f t="shared" si="10"/>
        <v/>
      </c>
      <c r="V160" s="2"/>
      <c r="W160" s="2"/>
      <c r="X160" s="2"/>
      <c r="Y160" s="17"/>
      <c r="Z160" s="17"/>
      <c r="AA160" s="2" t="str">
        <f t="shared" ca="1" si="11"/>
        <v/>
      </c>
      <c r="AB160" s="2"/>
    </row>
    <row r="161" spans="1:28" x14ac:dyDescent="0.3">
      <c r="A161" s="2" t="str">
        <f t="shared" si="8"/>
        <v/>
      </c>
      <c r="B161" s="2"/>
      <c r="C161" s="17"/>
      <c r="D161" s="2" t="str">
        <f t="shared" si="9"/>
        <v/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tr">
        <f t="shared" si="10"/>
        <v/>
      </c>
      <c r="V161" s="2"/>
      <c r="W161" s="2"/>
      <c r="X161" s="2"/>
      <c r="Y161" s="17"/>
      <c r="Z161" s="17"/>
      <c r="AA161" s="2" t="str">
        <f t="shared" ca="1" si="11"/>
        <v/>
      </c>
      <c r="AB161" s="2"/>
    </row>
    <row r="162" spans="1:28" x14ac:dyDescent="0.3">
      <c r="A162" s="2" t="str">
        <f t="shared" si="8"/>
        <v/>
      </c>
      <c r="B162" s="2"/>
      <c r="C162" s="17"/>
      <c r="D162" s="2" t="str">
        <f t="shared" si="9"/>
        <v/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 t="str">
        <f t="shared" si="10"/>
        <v/>
      </c>
      <c r="V162" s="2"/>
      <c r="W162" s="2"/>
      <c r="X162" s="2"/>
      <c r="Y162" s="17"/>
      <c r="Z162" s="17"/>
      <c r="AA162" s="2" t="str">
        <f t="shared" ca="1" si="11"/>
        <v/>
      </c>
      <c r="AB162" s="2"/>
    </row>
    <row r="163" spans="1:28" x14ac:dyDescent="0.3">
      <c r="A163" s="2" t="str">
        <f t="shared" si="8"/>
        <v/>
      </c>
      <c r="B163" s="2"/>
      <c r="C163" s="17"/>
      <c r="D163" s="2" t="str">
        <f t="shared" si="9"/>
        <v/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 t="str">
        <f t="shared" si="10"/>
        <v/>
      </c>
      <c r="V163" s="2"/>
      <c r="W163" s="2"/>
      <c r="X163" s="2"/>
      <c r="Y163" s="17"/>
      <c r="Z163" s="17"/>
      <c r="AA163" s="2" t="str">
        <f t="shared" ca="1" si="11"/>
        <v/>
      </c>
      <c r="AB163" s="2"/>
    </row>
    <row r="164" spans="1:28" x14ac:dyDescent="0.3">
      <c r="A164" s="2" t="str">
        <f t="shared" si="8"/>
        <v/>
      </c>
      <c r="B164" s="2"/>
      <c r="C164" s="17"/>
      <c r="D164" s="2" t="str">
        <f t="shared" si="9"/>
        <v/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tr">
        <f t="shared" si="10"/>
        <v/>
      </c>
      <c r="V164" s="2"/>
      <c r="W164" s="2"/>
      <c r="X164" s="2"/>
      <c r="Y164" s="17"/>
      <c r="Z164" s="17"/>
      <c r="AA164" s="2" t="str">
        <f t="shared" ca="1" si="11"/>
        <v/>
      </c>
      <c r="AB164" s="2"/>
    </row>
    <row r="165" spans="1:28" x14ac:dyDescent="0.3">
      <c r="A165" s="2" t="str">
        <f t="shared" si="8"/>
        <v/>
      </c>
      <c r="B165" s="2"/>
      <c r="C165" s="17"/>
      <c r="D165" s="2" t="str">
        <f t="shared" si="9"/>
        <v/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 t="str">
        <f t="shared" si="10"/>
        <v/>
      </c>
      <c r="V165" s="2"/>
      <c r="W165" s="2"/>
      <c r="X165" s="2"/>
      <c r="Y165" s="17"/>
      <c r="Z165" s="17"/>
      <c r="AA165" s="2" t="str">
        <f t="shared" ca="1" si="11"/>
        <v/>
      </c>
      <c r="AB165" s="2"/>
    </row>
    <row r="166" spans="1:28" x14ac:dyDescent="0.3">
      <c r="A166" s="2" t="str">
        <f t="shared" si="8"/>
        <v/>
      </c>
      <c r="B166" s="2"/>
      <c r="C166" s="17"/>
      <c r="D166" s="2" t="str">
        <f t="shared" si="9"/>
        <v/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tr">
        <f t="shared" si="10"/>
        <v/>
      </c>
      <c r="V166" s="2"/>
      <c r="W166" s="2"/>
      <c r="X166" s="2"/>
      <c r="Y166" s="17"/>
      <c r="Z166" s="17"/>
      <c r="AA166" s="2" t="str">
        <f t="shared" ca="1" si="11"/>
        <v/>
      </c>
      <c r="AB166" s="2"/>
    </row>
    <row r="167" spans="1:28" x14ac:dyDescent="0.3">
      <c r="A167" s="2" t="str">
        <f t="shared" si="8"/>
        <v/>
      </c>
      <c r="B167" s="2"/>
      <c r="C167" s="17"/>
      <c r="D167" s="2" t="str">
        <f t="shared" si="9"/>
        <v/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tr">
        <f t="shared" si="10"/>
        <v/>
      </c>
      <c r="V167" s="2"/>
      <c r="W167" s="2"/>
      <c r="X167" s="2"/>
      <c r="Y167" s="17"/>
      <c r="Z167" s="17"/>
      <c r="AA167" s="2" t="str">
        <f t="shared" ca="1" si="11"/>
        <v/>
      </c>
      <c r="AB167" s="2"/>
    </row>
    <row r="168" spans="1:28" x14ac:dyDescent="0.3">
      <c r="A168" s="2" t="str">
        <f t="shared" si="8"/>
        <v/>
      </c>
      <c r="B168" s="2"/>
      <c r="C168" s="17"/>
      <c r="D168" s="2" t="str">
        <f t="shared" si="9"/>
        <v/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tr">
        <f t="shared" si="10"/>
        <v/>
      </c>
      <c r="V168" s="2"/>
      <c r="W168" s="2"/>
      <c r="X168" s="2"/>
      <c r="Y168" s="17"/>
      <c r="Z168" s="17"/>
      <c r="AA168" s="2" t="str">
        <f t="shared" ca="1" si="11"/>
        <v/>
      </c>
      <c r="AB168" s="2"/>
    </row>
    <row r="169" spans="1:28" x14ac:dyDescent="0.3">
      <c r="A169" s="2" t="str">
        <f t="shared" si="8"/>
        <v/>
      </c>
      <c r="B169" s="2"/>
      <c r="C169" s="17"/>
      <c r="D169" s="2" t="str">
        <f t="shared" si="9"/>
        <v/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tr">
        <f t="shared" si="10"/>
        <v/>
      </c>
      <c r="V169" s="2"/>
      <c r="W169" s="2"/>
      <c r="X169" s="2"/>
      <c r="Y169" s="17"/>
      <c r="Z169" s="17"/>
      <c r="AA169" s="2" t="str">
        <f t="shared" ca="1" si="11"/>
        <v/>
      </c>
      <c r="AB169" s="2"/>
    </row>
    <row r="170" spans="1:28" x14ac:dyDescent="0.3">
      <c r="A170" s="2" t="str">
        <f t="shared" si="8"/>
        <v/>
      </c>
      <c r="B170" s="2"/>
      <c r="C170" s="17"/>
      <c r="D170" s="2" t="str">
        <f t="shared" si="9"/>
        <v/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tr">
        <f t="shared" si="10"/>
        <v/>
      </c>
      <c r="V170" s="2"/>
      <c r="W170" s="2"/>
      <c r="X170" s="2"/>
      <c r="Y170" s="17"/>
      <c r="Z170" s="17"/>
      <c r="AA170" s="2" t="str">
        <f t="shared" ca="1" si="11"/>
        <v/>
      </c>
      <c r="AB170" s="2"/>
    </row>
    <row r="171" spans="1:28" x14ac:dyDescent="0.3">
      <c r="A171" s="2" t="str">
        <f t="shared" si="8"/>
        <v/>
      </c>
      <c r="B171" s="2"/>
      <c r="C171" s="17"/>
      <c r="D171" s="2" t="str">
        <f t="shared" si="9"/>
        <v/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tr">
        <f t="shared" si="10"/>
        <v/>
      </c>
      <c r="V171" s="2"/>
      <c r="W171" s="2"/>
      <c r="X171" s="2"/>
      <c r="Y171" s="17"/>
      <c r="Z171" s="17"/>
      <c r="AA171" s="2" t="str">
        <f t="shared" ca="1" si="11"/>
        <v/>
      </c>
      <c r="AB171" s="2"/>
    </row>
    <row r="172" spans="1:28" x14ac:dyDescent="0.3">
      <c r="A172" s="2" t="str">
        <f t="shared" si="8"/>
        <v/>
      </c>
      <c r="B172" s="2"/>
      <c r="C172" s="17"/>
      <c r="D172" s="2" t="str">
        <f t="shared" si="9"/>
        <v/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tr">
        <f t="shared" si="10"/>
        <v/>
      </c>
      <c r="V172" s="2"/>
      <c r="W172" s="2"/>
      <c r="X172" s="2"/>
      <c r="Y172" s="17"/>
      <c r="Z172" s="17"/>
      <c r="AA172" s="2" t="str">
        <f t="shared" ca="1" si="11"/>
        <v/>
      </c>
      <c r="AB172" s="2"/>
    </row>
    <row r="173" spans="1:28" x14ac:dyDescent="0.3">
      <c r="A173" s="2" t="str">
        <f t="shared" si="8"/>
        <v/>
      </c>
      <c r="B173" s="2"/>
      <c r="C173" s="17"/>
      <c r="D173" s="2" t="str">
        <f t="shared" si="9"/>
        <v/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tr">
        <f t="shared" si="10"/>
        <v/>
      </c>
      <c r="V173" s="2"/>
      <c r="W173" s="2"/>
      <c r="X173" s="2"/>
      <c r="Y173" s="17"/>
      <c r="Z173" s="17"/>
      <c r="AA173" s="2" t="str">
        <f t="shared" ca="1" si="11"/>
        <v/>
      </c>
      <c r="AB173" s="2"/>
    </row>
    <row r="174" spans="1:28" x14ac:dyDescent="0.3">
      <c r="A174" s="2" t="str">
        <f t="shared" si="8"/>
        <v/>
      </c>
      <c r="B174" s="2"/>
      <c r="C174" s="17"/>
      <c r="D174" s="2" t="str">
        <f t="shared" si="9"/>
        <v/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tr">
        <f t="shared" si="10"/>
        <v/>
      </c>
      <c r="V174" s="2"/>
      <c r="W174" s="2"/>
      <c r="X174" s="2"/>
      <c r="Y174" s="17"/>
      <c r="Z174" s="17"/>
      <c r="AA174" s="2" t="str">
        <f t="shared" ca="1" si="11"/>
        <v/>
      </c>
      <c r="AB174" s="2"/>
    </row>
    <row r="175" spans="1:28" x14ac:dyDescent="0.3">
      <c r="A175" s="2" t="str">
        <f t="shared" si="8"/>
        <v/>
      </c>
      <c r="B175" s="2"/>
      <c r="C175" s="17"/>
      <c r="D175" s="2" t="str">
        <f t="shared" si="9"/>
        <v/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tr">
        <f t="shared" si="10"/>
        <v/>
      </c>
      <c r="V175" s="2"/>
      <c r="W175" s="2"/>
      <c r="X175" s="2"/>
      <c r="Y175" s="17"/>
      <c r="Z175" s="17"/>
      <c r="AA175" s="2" t="str">
        <f t="shared" ca="1" si="11"/>
        <v/>
      </c>
      <c r="AB175" s="2"/>
    </row>
    <row r="176" spans="1:28" x14ac:dyDescent="0.3">
      <c r="A176" s="2" t="str">
        <f t="shared" si="8"/>
        <v/>
      </c>
      <c r="B176" s="2"/>
      <c r="C176" s="17"/>
      <c r="D176" s="2" t="str">
        <f t="shared" si="9"/>
        <v/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 t="str">
        <f t="shared" si="10"/>
        <v/>
      </c>
      <c r="V176" s="2"/>
      <c r="W176" s="2"/>
      <c r="X176" s="2"/>
      <c r="Y176" s="17"/>
      <c r="Z176" s="17"/>
      <c r="AA176" s="2" t="str">
        <f t="shared" ca="1" si="11"/>
        <v/>
      </c>
      <c r="AB176" s="2"/>
    </row>
    <row r="177" spans="1:28" x14ac:dyDescent="0.3">
      <c r="A177" s="2" t="str">
        <f t="shared" si="8"/>
        <v/>
      </c>
      <c r="B177" s="2"/>
      <c r="C177" s="17"/>
      <c r="D177" s="2" t="str">
        <f t="shared" si="9"/>
        <v/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tr">
        <f t="shared" si="10"/>
        <v/>
      </c>
      <c r="V177" s="2"/>
      <c r="W177" s="2"/>
      <c r="X177" s="2"/>
      <c r="Y177" s="17"/>
      <c r="Z177" s="17"/>
      <c r="AA177" s="2" t="str">
        <f t="shared" ca="1" si="11"/>
        <v/>
      </c>
      <c r="AB177" s="2"/>
    </row>
    <row r="178" spans="1:28" x14ac:dyDescent="0.3">
      <c r="A178" s="2" t="str">
        <f t="shared" si="8"/>
        <v/>
      </c>
      <c r="B178" s="2"/>
      <c r="C178" s="17"/>
      <c r="D178" s="2" t="str">
        <f t="shared" si="9"/>
        <v/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tr">
        <f t="shared" si="10"/>
        <v/>
      </c>
      <c r="V178" s="2"/>
      <c r="W178" s="2"/>
      <c r="X178" s="2"/>
      <c r="Y178" s="17"/>
      <c r="Z178" s="17"/>
      <c r="AA178" s="2" t="str">
        <f t="shared" ca="1" si="11"/>
        <v/>
      </c>
      <c r="AB178" s="2"/>
    </row>
    <row r="179" spans="1:28" x14ac:dyDescent="0.3">
      <c r="A179" s="2" t="str">
        <f t="shared" si="8"/>
        <v/>
      </c>
      <c r="B179" s="2"/>
      <c r="C179" s="17"/>
      <c r="D179" s="2" t="str">
        <f t="shared" si="9"/>
        <v/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 t="str">
        <f t="shared" si="10"/>
        <v/>
      </c>
      <c r="V179" s="2"/>
      <c r="W179" s="2"/>
      <c r="X179" s="2"/>
      <c r="Y179" s="17"/>
      <c r="Z179" s="17"/>
      <c r="AA179" s="2" t="str">
        <f t="shared" ca="1" si="11"/>
        <v/>
      </c>
      <c r="AB179" s="2"/>
    </row>
    <row r="180" spans="1:28" x14ac:dyDescent="0.3">
      <c r="A180" s="2" t="str">
        <f t="shared" si="8"/>
        <v/>
      </c>
      <c r="B180" s="2"/>
      <c r="C180" s="17"/>
      <c r="D180" s="2" t="str">
        <f t="shared" si="9"/>
        <v/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tr">
        <f t="shared" si="10"/>
        <v/>
      </c>
      <c r="V180" s="2"/>
      <c r="W180" s="2"/>
      <c r="X180" s="2"/>
      <c r="Y180" s="17"/>
      <c r="Z180" s="17"/>
      <c r="AA180" s="2" t="str">
        <f t="shared" ca="1" si="11"/>
        <v/>
      </c>
      <c r="AB180" s="2"/>
    </row>
    <row r="181" spans="1:28" x14ac:dyDescent="0.3">
      <c r="A181" s="2" t="str">
        <f t="shared" si="8"/>
        <v/>
      </c>
      <c r="B181" s="2"/>
      <c r="C181" s="17"/>
      <c r="D181" s="2" t="str">
        <f t="shared" si="9"/>
        <v/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tr">
        <f t="shared" si="10"/>
        <v/>
      </c>
      <c r="V181" s="2"/>
      <c r="W181" s="2"/>
      <c r="X181" s="2"/>
      <c r="Y181" s="17"/>
      <c r="Z181" s="17"/>
      <c r="AA181" s="2" t="str">
        <f t="shared" ca="1" si="11"/>
        <v/>
      </c>
      <c r="AB181" s="2"/>
    </row>
    <row r="182" spans="1:28" x14ac:dyDescent="0.3">
      <c r="A182" s="2" t="str">
        <f t="shared" si="8"/>
        <v/>
      </c>
      <c r="B182" s="2"/>
      <c r="C182" s="17"/>
      <c r="D182" s="2" t="str">
        <f t="shared" si="9"/>
        <v/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tr">
        <f t="shared" si="10"/>
        <v/>
      </c>
      <c r="V182" s="2"/>
      <c r="W182" s="2"/>
      <c r="X182" s="2"/>
      <c r="Y182" s="17"/>
      <c r="Z182" s="17"/>
      <c r="AA182" s="2" t="str">
        <f t="shared" ca="1" si="11"/>
        <v/>
      </c>
      <c r="AB182" s="2"/>
    </row>
    <row r="183" spans="1:28" x14ac:dyDescent="0.3">
      <c r="A183" s="2" t="str">
        <f t="shared" si="8"/>
        <v/>
      </c>
      <c r="B183" s="2"/>
      <c r="C183" s="17"/>
      <c r="D183" s="2" t="str">
        <f t="shared" si="9"/>
        <v/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tr">
        <f t="shared" si="10"/>
        <v/>
      </c>
      <c r="V183" s="2"/>
      <c r="W183" s="2"/>
      <c r="X183" s="2"/>
      <c r="Y183" s="17"/>
      <c r="Z183" s="17"/>
      <c r="AA183" s="2" t="str">
        <f t="shared" ca="1" si="11"/>
        <v/>
      </c>
      <c r="AB183" s="2"/>
    </row>
    <row r="184" spans="1:28" x14ac:dyDescent="0.3">
      <c r="A184" s="2" t="str">
        <f t="shared" si="8"/>
        <v/>
      </c>
      <c r="B184" s="2"/>
      <c r="C184" s="17"/>
      <c r="D184" s="2" t="str">
        <f t="shared" si="9"/>
        <v/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 t="str">
        <f t="shared" si="10"/>
        <v/>
      </c>
      <c r="V184" s="2"/>
      <c r="W184" s="2"/>
      <c r="X184" s="2"/>
      <c r="Y184" s="17"/>
      <c r="Z184" s="17"/>
      <c r="AA184" s="2" t="str">
        <f t="shared" ca="1" si="11"/>
        <v/>
      </c>
      <c r="AB184" s="2"/>
    </row>
    <row r="185" spans="1:28" x14ac:dyDescent="0.3">
      <c r="A185" s="2" t="str">
        <f t="shared" si="8"/>
        <v/>
      </c>
      <c r="B185" s="2"/>
      <c r="C185" s="17"/>
      <c r="D185" s="2" t="str">
        <f t="shared" si="9"/>
        <v/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tr">
        <f t="shared" si="10"/>
        <v/>
      </c>
      <c r="V185" s="2"/>
      <c r="W185" s="2"/>
      <c r="X185" s="2"/>
      <c r="Y185" s="17"/>
      <c r="Z185" s="17"/>
      <c r="AA185" s="2" t="str">
        <f t="shared" ca="1" si="11"/>
        <v/>
      </c>
      <c r="AB185" s="2"/>
    </row>
    <row r="186" spans="1:28" x14ac:dyDescent="0.3">
      <c r="A186" s="2" t="str">
        <f t="shared" si="8"/>
        <v/>
      </c>
      <c r="B186" s="2"/>
      <c r="C186" s="17"/>
      <c r="D186" s="2" t="str">
        <f t="shared" si="9"/>
        <v/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tr">
        <f t="shared" si="10"/>
        <v/>
      </c>
      <c r="V186" s="2"/>
      <c r="W186" s="2"/>
      <c r="X186" s="2"/>
      <c r="Y186" s="17"/>
      <c r="Z186" s="17"/>
      <c r="AA186" s="2" t="str">
        <f t="shared" ca="1" si="11"/>
        <v/>
      </c>
      <c r="AB186" s="2"/>
    </row>
    <row r="187" spans="1:28" x14ac:dyDescent="0.3">
      <c r="A187" s="2" t="str">
        <f t="shared" si="8"/>
        <v/>
      </c>
      <c r="B187" s="2"/>
      <c r="C187" s="17"/>
      <c r="D187" s="2" t="str">
        <f t="shared" si="9"/>
        <v/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 t="str">
        <f t="shared" si="10"/>
        <v/>
      </c>
      <c r="V187" s="2"/>
      <c r="W187" s="2"/>
      <c r="X187" s="2"/>
      <c r="Y187" s="17"/>
      <c r="Z187" s="17"/>
      <c r="AA187" s="2" t="str">
        <f t="shared" ca="1" si="11"/>
        <v/>
      </c>
      <c r="AB187" s="2"/>
    </row>
    <row r="188" spans="1:28" x14ac:dyDescent="0.3">
      <c r="A188" s="2" t="str">
        <f t="shared" si="8"/>
        <v/>
      </c>
      <c r="B188" s="2"/>
      <c r="C188" s="17"/>
      <c r="D188" s="2" t="str">
        <f t="shared" si="9"/>
        <v/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tr">
        <f t="shared" si="10"/>
        <v/>
      </c>
      <c r="V188" s="2"/>
      <c r="W188" s="2"/>
      <c r="X188" s="2"/>
      <c r="Y188" s="17"/>
      <c r="Z188" s="17"/>
      <c r="AA188" s="2" t="str">
        <f t="shared" ca="1" si="11"/>
        <v/>
      </c>
      <c r="AB188" s="2"/>
    </row>
    <row r="189" spans="1:28" x14ac:dyDescent="0.3">
      <c r="A189" s="2" t="str">
        <f t="shared" si="8"/>
        <v/>
      </c>
      <c r="B189" s="2"/>
      <c r="C189" s="17"/>
      <c r="D189" s="2" t="str">
        <f t="shared" si="9"/>
        <v/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 t="str">
        <f t="shared" si="10"/>
        <v/>
      </c>
      <c r="V189" s="2"/>
      <c r="W189" s="2"/>
      <c r="X189" s="2"/>
      <c r="Y189" s="17"/>
      <c r="Z189" s="17"/>
      <c r="AA189" s="2" t="str">
        <f t="shared" ca="1" si="11"/>
        <v/>
      </c>
      <c r="AB189" s="2"/>
    </row>
    <row r="190" spans="1:28" x14ac:dyDescent="0.3">
      <c r="A190" s="2" t="str">
        <f t="shared" si="8"/>
        <v/>
      </c>
      <c r="B190" s="2"/>
      <c r="C190" s="17"/>
      <c r="D190" s="2" t="str">
        <f t="shared" si="9"/>
        <v/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tr">
        <f t="shared" si="10"/>
        <v/>
      </c>
      <c r="V190" s="2"/>
      <c r="W190" s="2"/>
      <c r="X190" s="2"/>
      <c r="Y190" s="17"/>
      <c r="Z190" s="17"/>
      <c r="AA190" s="2" t="str">
        <f t="shared" ca="1" si="11"/>
        <v/>
      </c>
      <c r="AB190" s="2"/>
    </row>
    <row r="191" spans="1:28" x14ac:dyDescent="0.3">
      <c r="A191" s="2" t="str">
        <f t="shared" si="8"/>
        <v/>
      </c>
      <c r="B191" s="2"/>
      <c r="C191" s="17"/>
      <c r="D191" s="2" t="str">
        <f t="shared" si="9"/>
        <v/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 t="str">
        <f t="shared" si="10"/>
        <v/>
      </c>
      <c r="V191" s="2"/>
      <c r="W191" s="2"/>
      <c r="X191" s="2"/>
      <c r="Y191" s="17"/>
      <c r="Z191" s="17"/>
      <c r="AA191" s="2" t="str">
        <f t="shared" ca="1" si="11"/>
        <v/>
      </c>
      <c r="AB191" s="2"/>
    </row>
    <row r="192" spans="1:28" x14ac:dyDescent="0.3">
      <c r="A192" s="2" t="str">
        <f t="shared" si="8"/>
        <v/>
      </c>
      <c r="B192" s="2"/>
      <c r="C192" s="17"/>
      <c r="D192" s="2" t="str">
        <f t="shared" si="9"/>
        <v/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 t="str">
        <f t="shared" si="10"/>
        <v/>
      </c>
      <c r="V192" s="2"/>
      <c r="W192" s="2"/>
      <c r="X192" s="2"/>
      <c r="Y192" s="17"/>
      <c r="Z192" s="17"/>
      <c r="AA192" s="2" t="str">
        <f t="shared" ca="1" si="11"/>
        <v/>
      </c>
      <c r="AB192" s="2"/>
    </row>
    <row r="193" spans="1:28" x14ac:dyDescent="0.3">
      <c r="A193" s="2" t="str">
        <f t="shared" si="8"/>
        <v/>
      </c>
      <c r="B193" s="2"/>
      <c r="C193" s="17"/>
      <c r="D193" s="2" t="str">
        <f t="shared" si="9"/>
        <v/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tr">
        <f t="shared" si="10"/>
        <v/>
      </c>
      <c r="V193" s="2"/>
      <c r="W193" s="2"/>
      <c r="X193" s="2"/>
      <c r="Y193" s="17"/>
      <c r="Z193" s="17"/>
      <c r="AA193" s="2" t="str">
        <f t="shared" ca="1" si="11"/>
        <v/>
      </c>
      <c r="AB193" s="2"/>
    </row>
    <row r="194" spans="1:28" x14ac:dyDescent="0.3">
      <c r="A194" s="2" t="str">
        <f t="shared" ref="A194:A257" si="12">IF(C194="","",ROW()-1)</f>
        <v/>
      </c>
      <c r="B194" s="2"/>
      <c r="C194" s="17"/>
      <c r="D194" s="2" t="str">
        <f t="shared" ref="D194:D257" si="13">IF(C194="","",TEXT(C194,"mmm-yy"))</f>
        <v/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 t="str">
        <f t="shared" ref="U194:U257" si="14">IF(OR(N194="Y",N194="Yes"),S194,"")</f>
        <v/>
      </c>
      <c r="V194" s="2"/>
      <c r="W194" s="2"/>
      <c r="X194" s="2"/>
      <c r="Y194" s="17"/>
      <c r="Z194" s="17"/>
      <c r="AA194" s="2" t="str">
        <f t="shared" ref="AA194:AA257" ca="1" si="15">IF(C194="","",IF(Z194&lt;&gt;"","Closed",IF(Y194&lt;TODAY(),"Overdue","Open")))</f>
        <v/>
      </c>
      <c r="AB194" s="2"/>
    </row>
    <row r="195" spans="1:28" x14ac:dyDescent="0.3">
      <c r="A195" s="2" t="str">
        <f t="shared" si="12"/>
        <v/>
      </c>
      <c r="B195" s="2"/>
      <c r="C195" s="17"/>
      <c r="D195" s="2" t="str">
        <f t="shared" si="13"/>
        <v/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tr">
        <f t="shared" si="14"/>
        <v/>
      </c>
      <c r="V195" s="2"/>
      <c r="W195" s="2"/>
      <c r="X195" s="2"/>
      <c r="Y195" s="17"/>
      <c r="Z195" s="17"/>
      <c r="AA195" s="2" t="str">
        <f t="shared" ca="1" si="15"/>
        <v/>
      </c>
      <c r="AB195" s="2"/>
    </row>
    <row r="196" spans="1:28" x14ac:dyDescent="0.3">
      <c r="A196" s="2" t="str">
        <f t="shared" si="12"/>
        <v/>
      </c>
      <c r="B196" s="2"/>
      <c r="C196" s="17"/>
      <c r="D196" s="2" t="str">
        <f t="shared" si="13"/>
        <v/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tr">
        <f t="shared" si="14"/>
        <v/>
      </c>
      <c r="V196" s="2"/>
      <c r="W196" s="2"/>
      <c r="X196" s="2"/>
      <c r="Y196" s="17"/>
      <c r="Z196" s="17"/>
      <c r="AA196" s="2" t="str">
        <f t="shared" ca="1" si="15"/>
        <v/>
      </c>
      <c r="AB196" s="2"/>
    </row>
    <row r="197" spans="1:28" x14ac:dyDescent="0.3">
      <c r="A197" s="2" t="str">
        <f t="shared" si="12"/>
        <v/>
      </c>
      <c r="B197" s="2"/>
      <c r="C197" s="17"/>
      <c r="D197" s="2" t="str">
        <f t="shared" si="13"/>
        <v/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tr">
        <f t="shared" si="14"/>
        <v/>
      </c>
      <c r="V197" s="2"/>
      <c r="W197" s="2"/>
      <c r="X197" s="2"/>
      <c r="Y197" s="17"/>
      <c r="Z197" s="17"/>
      <c r="AA197" s="2" t="str">
        <f t="shared" ca="1" si="15"/>
        <v/>
      </c>
      <c r="AB197" s="2"/>
    </row>
    <row r="198" spans="1:28" x14ac:dyDescent="0.3">
      <c r="A198" s="2" t="str">
        <f t="shared" si="12"/>
        <v/>
      </c>
      <c r="B198" s="2"/>
      <c r="C198" s="17"/>
      <c r="D198" s="2" t="str">
        <f t="shared" si="13"/>
        <v/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str">
        <f t="shared" si="14"/>
        <v/>
      </c>
      <c r="V198" s="2"/>
      <c r="W198" s="2"/>
      <c r="X198" s="2"/>
      <c r="Y198" s="17"/>
      <c r="Z198" s="17"/>
      <c r="AA198" s="2" t="str">
        <f t="shared" ca="1" si="15"/>
        <v/>
      </c>
      <c r="AB198" s="2"/>
    </row>
    <row r="199" spans="1:28" x14ac:dyDescent="0.3">
      <c r="A199" s="2" t="str">
        <f t="shared" si="12"/>
        <v/>
      </c>
      <c r="B199" s="2"/>
      <c r="C199" s="17"/>
      <c r="D199" s="2" t="str">
        <f t="shared" si="13"/>
        <v/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tr">
        <f t="shared" si="14"/>
        <v/>
      </c>
      <c r="V199" s="2"/>
      <c r="W199" s="2"/>
      <c r="X199" s="2"/>
      <c r="Y199" s="17"/>
      <c r="Z199" s="17"/>
      <c r="AA199" s="2" t="str">
        <f t="shared" ca="1" si="15"/>
        <v/>
      </c>
      <c r="AB199" s="2"/>
    </row>
    <row r="200" spans="1:28" x14ac:dyDescent="0.3">
      <c r="A200" s="2" t="str">
        <f t="shared" si="12"/>
        <v/>
      </c>
      <c r="B200" s="2"/>
      <c r="C200" s="17"/>
      <c r="D200" s="2" t="str">
        <f t="shared" si="13"/>
        <v/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tr">
        <f t="shared" si="14"/>
        <v/>
      </c>
      <c r="V200" s="2"/>
      <c r="W200" s="2"/>
      <c r="X200" s="2"/>
      <c r="Y200" s="17"/>
      <c r="Z200" s="17"/>
      <c r="AA200" s="2" t="str">
        <f t="shared" ca="1" si="15"/>
        <v/>
      </c>
      <c r="AB200" s="2"/>
    </row>
    <row r="201" spans="1:28" x14ac:dyDescent="0.3">
      <c r="A201" s="2" t="str">
        <f t="shared" si="12"/>
        <v/>
      </c>
      <c r="B201" s="2"/>
      <c r="C201" s="17"/>
      <c r="D201" s="2" t="str">
        <f t="shared" si="13"/>
        <v/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tr">
        <f t="shared" si="14"/>
        <v/>
      </c>
      <c r="V201" s="2"/>
      <c r="W201" s="2"/>
      <c r="X201" s="2"/>
      <c r="Y201" s="17"/>
      <c r="Z201" s="17"/>
      <c r="AA201" s="2" t="str">
        <f t="shared" ca="1" si="15"/>
        <v/>
      </c>
      <c r="AB201" s="2"/>
    </row>
    <row r="202" spans="1:28" x14ac:dyDescent="0.3">
      <c r="A202" s="2" t="str">
        <f t="shared" si="12"/>
        <v/>
      </c>
      <c r="B202" s="2"/>
      <c r="C202" s="17"/>
      <c r="D202" s="2" t="str">
        <f t="shared" si="13"/>
        <v/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 t="str">
        <f t="shared" si="14"/>
        <v/>
      </c>
      <c r="V202" s="2"/>
      <c r="W202" s="2"/>
      <c r="X202" s="2"/>
      <c r="Y202" s="17"/>
      <c r="Z202" s="17"/>
      <c r="AA202" s="2" t="str">
        <f t="shared" ca="1" si="15"/>
        <v/>
      </c>
      <c r="AB202" s="2"/>
    </row>
    <row r="203" spans="1:28" x14ac:dyDescent="0.3">
      <c r="A203" s="2" t="str">
        <f t="shared" si="12"/>
        <v/>
      </c>
      <c r="B203" s="2"/>
      <c r="C203" s="17"/>
      <c r="D203" s="2" t="str">
        <f t="shared" si="13"/>
        <v/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 t="str">
        <f t="shared" si="14"/>
        <v/>
      </c>
      <c r="V203" s="2"/>
      <c r="W203" s="2"/>
      <c r="X203" s="2"/>
      <c r="Y203" s="17"/>
      <c r="Z203" s="17"/>
      <c r="AA203" s="2" t="str">
        <f t="shared" ca="1" si="15"/>
        <v/>
      </c>
      <c r="AB203" s="2"/>
    </row>
    <row r="204" spans="1:28" x14ac:dyDescent="0.3">
      <c r="A204" s="2" t="str">
        <f t="shared" si="12"/>
        <v/>
      </c>
      <c r="B204" s="2"/>
      <c r="C204" s="17"/>
      <c r="D204" s="2" t="str">
        <f t="shared" si="13"/>
        <v/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tr">
        <f t="shared" si="14"/>
        <v/>
      </c>
      <c r="V204" s="2"/>
      <c r="W204" s="2"/>
      <c r="X204" s="2"/>
      <c r="Y204" s="17"/>
      <c r="Z204" s="17"/>
      <c r="AA204" s="2" t="str">
        <f t="shared" ca="1" si="15"/>
        <v/>
      </c>
      <c r="AB204" s="2"/>
    </row>
    <row r="205" spans="1:28" x14ac:dyDescent="0.3">
      <c r="A205" s="2" t="str">
        <f t="shared" si="12"/>
        <v/>
      </c>
      <c r="B205" s="2"/>
      <c r="C205" s="17"/>
      <c r="D205" s="2" t="str">
        <f t="shared" si="13"/>
        <v/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tr">
        <f t="shared" si="14"/>
        <v/>
      </c>
      <c r="V205" s="2"/>
      <c r="W205" s="2"/>
      <c r="X205" s="2"/>
      <c r="Y205" s="17"/>
      <c r="Z205" s="17"/>
      <c r="AA205" s="2" t="str">
        <f t="shared" ca="1" si="15"/>
        <v/>
      </c>
      <c r="AB205" s="2"/>
    </row>
    <row r="206" spans="1:28" x14ac:dyDescent="0.3">
      <c r="A206" s="2" t="str">
        <f t="shared" si="12"/>
        <v/>
      </c>
      <c r="B206" s="2"/>
      <c r="C206" s="17"/>
      <c r="D206" s="2" t="str">
        <f t="shared" si="13"/>
        <v/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tr">
        <f t="shared" si="14"/>
        <v/>
      </c>
      <c r="V206" s="2"/>
      <c r="W206" s="2"/>
      <c r="X206" s="2"/>
      <c r="Y206" s="17"/>
      <c r="Z206" s="17"/>
      <c r="AA206" s="2" t="str">
        <f t="shared" ca="1" si="15"/>
        <v/>
      </c>
      <c r="AB206" s="2"/>
    </row>
    <row r="207" spans="1:28" x14ac:dyDescent="0.3">
      <c r="A207" s="2" t="str">
        <f t="shared" si="12"/>
        <v/>
      </c>
      <c r="B207" s="2"/>
      <c r="C207" s="17"/>
      <c r="D207" s="2" t="str">
        <f t="shared" si="13"/>
        <v/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 t="str">
        <f t="shared" si="14"/>
        <v/>
      </c>
      <c r="V207" s="2"/>
      <c r="W207" s="2"/>
      <c r="X207" s="2"/>
      <c r="Y207" s="17"/>
      <c r="Z207" s="17"/>
      <c r="AA207" s="2" t="str">
        <f t="shared" ca="1" si="15"/>
        <v/>
      </c>
      <c r="AB207" s="2"/>
    </row>
    <row r="208" spans="1:28" x14ac:dyDescent="0.3">
      <c r="A208" s="2" t="str">
        <f t="shared" si="12"/>
        <v/>
      </c>
      <c r="B208" s="2"/>
      <c r="C208" s="17"/>
      <c r="D208" s="2" t="str">
        <f t="shared" si="13"/>
        <v/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tr">
        <f t="shared" si="14"/>
        <v/>
      </c>
      <c r="V208" s="2"/>
      <c r="W208" s="2"/>
      <c r="X208" s="2"/>
      <c r="Y208" s="17"/>
      <c r="Z208" s="17"/>
      <c r="AA208" s="2" t="str">
        <f t="shared" ca="1" si="15"/>
        <v/>
      </c>
      <c r="AB208" s="2"/>
    </row>
    <row r="209" spans="1:28" x14ac:dyDescent="0.3">
      <c r="A209" s="2" t="str">
        <f t="shared" si="12"/>
        <v/>
      </c>
      <c r="B209" s="2"/>
      <c r="C209" s="17"/>
      <c r="D209" s="2" t="str">
        <f t="shared" si="13"/>
        <v/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tr">
        <f t="shared" si="14"/>
        <v/>
      </c>
      <c r="V209" s="2"/>
      <c r="W209" s="2"/>
      <c r="X209" s="2"/>
      <c r="Y209" s="17"/>
      <c r="Z209" s="17"/>
      <c r="AA209" s="2" t="str">
        <f t="shared" ca="1" si="15"/>
        <v/>
      </c>
      <c r="AB209" s="2"/>
    </row>
    <row r="210" spans="1:28" x14ac:dyDescent="0.3">
      <c r="A210" s="2" t="str">
        <f t="shared" si="12"/>
        <v/>
      </c>
      <c r="B210" s="2"/>
      <c r="C210" s="17"/>
      <c r="D210" s="2" t="str">
        <f t="shared" si="13"/>
        <v/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tr">
        <f t="shared" si="14"/>
        <v/>
      </c>
      <c r="V210" s="2"/>
      <c r="W210" s="2"/>
      <c r="X210" s="2"/>
      <c r="Y210" s="17"/>
      <c r="Z210" s="17"/>
      <c r="AA210" s="2" t="str">
        <f t="shared" ca="1" si="15"/>
        <v/>
      </c>
      <c r="AB210" s="2"/>
    </row>
    <row r="211" spans="1:28" x14ac:dyDescent="0.3">
      <c r="A211" s="2" t="str">
        <f t="shared" si="12"/>
        <v/>
      </c>
      <c r="B211" s="2"/>
      <c r="C211" s="17"/>
      <c r="D211" s="2" t="str">
        <f t="shared" si="13"/>
        <v/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tr">
        <f t="shared" si="14"/>
        <v/>
      </c>
      <c r="V211" s="2"/>
      <c r="W211" s="2"/>
      <c r="X211" s="2"/>
      <c r="Y211" s="17"/>
      <c r="Z211" s="17"/>
      <c r="AA211" s="2" t="str">
        <f t="shared" ca="1" si="15"/>
        <v/>
      </c>
      <c r="AB211" s="2"/>
    </row>
    <row r="212" spans="1:28" x14ac:dyDescent="0.3">
      <c r="A212" s="2" t="str">
        <f t="shared" si="12"/>
        <v/>
      </c>
      <c r="B212" s="2"/>
      <c r="C212" s="17"/>
      <c r="D212" s="2" t="str">
        <f t="shared" si="13"/>
        <v/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tr">
        <f t="shared" si="14"/>
        <v/>
      </c>
      <c r="V212" s="2"/>
      <c r="W212" s="2"/>
      <c r="X212" s="2"/>
      <c r="Y212" s="17"/>
      <c r="Z212" s="17"/>
      <c r="AA212" s="2" t="str">
        <f t="shared" ca="1" si="15"/>
        <v/>
      </c>
      <c r="AB212" s="2"/>
    </row>
    <row r="213" spans="1:28" x14ac:dyDescent="0.3">
      <c r="A213" s="2" t="str">
        <f t="shared" si="12"/>
        <v/>
      </c>
      <c r="B213" s="2"/>
      <c r="C213" s="17"/>
      <c r="D213" s="2" t="str">
        <f t="shared" si="13"/>
        <v/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 t="str">
        <f t="shared" si="14"/>
        <v/>
      </c>
      <c r="V213" s="2"/>
      <c r="W213" s="2"/>
      <c r="X213" s="2"/>
      <c r="Y213" s="17"/>
      <c r="Z213" s="17"/>
      <c r="AA213" s="2" t="str">
        <f t="shared" ca="1" si="15"/>
        <v/>
      </c>
      <c r="AB213" s="2"/>
    </row>
    <row r="214" spans="1:28" x14ac:dyDescent="0.3">
      <c r="A214" s="2" t="str">
        <f t="shared" si="12"/>
        <v/>
      </c>
      <c r="B214" s="2"/>
      <c r="C214" s="17"/>
      <c r="D214" s="2" t="str">
        <f t="shared" si="13"/>
        <v/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tr">
        <f t="shared" si="14"/>
        <v/>
      </c>
      <c r="V214" s="2"/>
      <c r="W214" s="2"/>
      <c r="X214" s="2"/>
      <c r="Y214" s="17"/>
      <c r="Z214" s="17"/>
      <c r="AA214" s="2" t="str">
        <f t="shared" ca="1" si="15"/>
        <v/>
      </c>
      <c r="AB214" s="2"/>
    </row>
    <row r="215" spans="1:28" x14ac:dyDescent="0.3">
      <c r="A215" s="2" t="str">
        <f t="shared" si="12"/>
        <v/>
      </c>
      <c r="B215" s="2"/>
      <c r="C215" s="17"/>
      <c r="D215" s="2" t="str">
        <f t="shared" si="13"/>
        <v/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 t="str">
        <f t="shared" si="14"/>
        <v/>
      </c>
      <c r="V215" s="2"/>
      <c r="W215" s="2"/>
      <c r="X215" s="2"/>
      <c r="Y215" s="17"/>
      <c r="Z215" s="17"/>
      <c r="AA215" s="2" t="str">
        <f t="shared" ca="1" si="15"/>
        <v/>
      </c>
      <c r="AB215" s="2"/>
    </row>
    <row r="216" spans="1:28" x14ac:dyDescent="0.3">
      <c r="A216" s="2" t="str">
        <f t="shared" si="12"/>
        <v/>
      </c>
      <c r="B216" s="2"/>
      <c r="C216" s="17"/>
      <c r="D216" s="2" t="str">
        <f t="shared" si="13"/>
        <v/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 t="str">
        <f t="shared" si="14"/>
        <v/>
      </c>
      <c r="V216" s="2"/>
      <c r="W216" s="2"/>
      <c r="X216" s="2"/>
      <c r="Y216" s="17"/>
      <c r="Z216" s="17"/>
      <c r="AA216" s="2" t="str">
        <f t="shared" ca="1" si="15"/>
        <v/>
      </c>
      <c r="AB216" s="2"/>
    </row>
    <row r="217" spans="1:28" x14ac:dyDescent="0.3">
      <c r="A217" s="2" t="str">
        <f t="shared" si="12"/>
        <v/>
      </c>
      <c r="B217" s="2"/>
      <c r="C217" s="17"/>
      <c r="D217" s="2" t="str">
        <f t="shared" si="13"/>
        <v/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tr">
        <f t="shared" si="14"/>
        <v/>
      </c>
      <c r="V217" s="2"/>
      <c r="W217" s="2"/>
      <c r="X217" s="2"/>
      <c r="Y217" s="17"/>
      <c r="Z217" s="17"/>
      <c r="AA217" s="2" t="str">
        <f t="shared" ca="1" si="15"/>
        <v/>
      </c>
      <c r="AB217" s="2"/>
    </row>
    <row r="218" spans="1:28" x14ac:dyDescent="0.3">
      <c r="A218" s="2" t="str">
        <f t="shared" si="12"/>
        <v/>
      </c>
      <c r="B218" s="2"/>
      <c r="C218" s="17"/>
      <c r="D218" s="2" t="str">
        <f t="shared" si="13"/>
        <v/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tr">
        <f t="shared" si="14"/>
        <v/>
      </c>
      <c r="V218" s="2"/>
      <c r="W218" s="2"/>
      <c r="X218" s="2"/>
      <c r="Y218" s="17"/>
      <c r="Z218" s="17"/>
      <c r="AA218" s="2" t="str">
        <f t="shared" ca="1" si="15"/>
        <v/>
      </c>
      <c r="AB218" s="2"/>
    </row>
    <row r="219" spans="1:28" x14ac:dyDescent="0.3">
      <c r="A219" s="2" t="str">
        <f t="shared" si="12"/>
        <v/>
      </c>
      <c r="B219" s="2"/>
      <c r="C219" s="17"/>
      <c r="D219" s="2" t="str">
        <f t="shared" si="13"/>
        <v/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 t="str">
        <f t="shared" si="14"/>
        <v/>
      </c>
      <c r="V219" s="2"/>
      <c r="W219" s="2"/>
      <c r="X219" s="2"/>
      <c r="Y219" s="17"/>
      <c r="Z219" s="17"/>
      <c r="AA219" s="2" t="str">
        <f t="shared" ca="1" si="15"/>
        <v/>
      </c>
      <c r="AB219" s="2"/>
    </row>
    <row r="220" spans="1:28" x14ac:dyDescent="0.3">
      <c r="A220" s="2" t="str">
        <f t="shared" si="12"/>
        <v/>
      </c>
      <c r="B220" s="2"/>
      <c r="C220" s="17"/>
      <c r="D220" s="2" t="str">
        <f t="shared" si="13"/>
        <v/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 t="str">
        <f t="shared" si="14"/>
        <v/>
      </c>
      <c r="V220" s="2"/>
      <c r="W220" s="2"/>
      <c r="X220" s="2"/>
      <c r="Y220" s="17"/>
      <c r="Z220" s="17"/>
      <c r="AA220" s="2" t="str">
        <f t="shared" ca="1" si="15"/>
        <v/>
      </c>
      <c r="AB220" s="2"/>
    </row>
    <row r="221" spans="1:28" x14ac:dyDescent="0.3">
      <c r="A221" s="2" t="str">
        <f t="shared" si="12"/>
        <v/>
      </c>
      <c r="B221" s="2"/>
      <c r="C221" s="17"/>
      <c r="D221" s="2" t="str">
        <f t="shared" si="13"/>
        <v/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tr">
        <f t="shared" si="14"/>
        <v/>
      </c>
      <c r="V221" s="2"/>
      <c r="W221" s="2"/>
      <c r="X221" s="2"/>
      <c r="Y221" s="17"/>
      <c r="Z221" s="17"/>
      <c r="AA221" s="2" t="str">
        <f t="shared" ca="1" si="15"/>
        <v/>
      </c>
      <c r="AB221" s="2"/>
    </row>
    <row r="222" spans="1:28" x14ac:dyDescent="0.3">
      <c r="A222" s="2" t="str">
        <f t="shared" si="12"/>
        <v/>
      </c>
      <c r="B222" s="2"/>
      <c r="C222" s="17"/>
      <c r="D222" s="2" t="str">
        <f t="shared" si="13"/>
        <v/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 t="str">
        <f t="shared" si="14"/>
        <v/>
      </c>
      <c r="V222" s="2"/>
      <c r="W222" s="2"/>
      <c r="X222" s="2"/>
      <c r="Y222" s="17"/>
      <c r="Z222" s="17"/>
      <c r="AA222" s="2" t="str">
        <f t="shared" ca="1" si="15"/>
        <v/>
      </c>
      <c r="AB222" s="2"/>
    </row>
    <row r="223" spans="1:28" x14ac:dyDescent="0.3">
      <c r="A223" s="2" t="str">
        <f t="shared" si="12"/>
        <v/>
      </c>
      <c r="B223" s="2"/>
      <c r="C223" s="17"/>
      <c r="D223" s="2" t="str">
        <f t="shared" si="13"/>
        <v/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tr">
        <f t="shared" si="14"/>
        <v/>
      </c>
      <c r="V223" s="2"/>
      <c r="W223" s="2"/>
      <c r="X223" s="2"/>
      <c r="Y223" s="17"/>
      <c r="Z223" s="17"/>
      <c r="AA223" s="2" t="str">
        <f t="shared" ca="1" si="15"/>
        <v/>
      </c>
      <c r="AB223" s="2"/>
    </row>
    <row r="224" spans="1:28" x14ac:dyDescent="0.3">
      <c r="A224" s="2" t="str">
        <f t="shared" si="12"/>
        <v/>
      </c>
      <c r="B224" s="2"/>
      <c r="C224" s="17"/>
      <c r="D224" s="2" t="str">
        <f t="shared" si="13"/>
        <v/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tr">
        <f t="shared" si="14"/>
        <v/>
      </c>
      <c r="V224" s="2"/>
      <c r="W224" s="2"/>
      <c r="X224" s="2"/>
      <c r="Y224" s="17"/>
      <c r="Z224" s="17"/>
      <c r="AA224" s="2" t="str">
        <f t="shared" ca="1" si="15"/>
        <v/>
      </c>
      <c r="AB224" s="2"/>
    </row>
    <row r="225" spans="1:28" x14ac:dyDescent="0.3">
      <c r="A225" s="2" t="str">
        <f t="shared" si="12"/>
        <v/>
      </c>
      <c r="B225" s="2"/>
      <c r="C225" s="17"/>
      <c r="D225" s="2" t="str">
        <f t="shared" si="13"/>
        <v/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tr">
        <f t="shared" si="14"/>
        <v/>
      </c>
      <c r="V225" s="2"/>
      <c r="W225" s="2"/>
      <c r="X225" s="2"/>
      <c r="Y225" s="17"/>
      <c r="Z225" s="17"/>
      <c r="AA225" s="2" t="str">
        <f t="shared" ca="1" si="15"/>
        <v/>
      </c>
      <c r="AB225" s="2"/>
    </row>
    <row r="226" spans="1:28" x14ac:dyDescent="0.3">
      <c r="A226" s="2" t="str">
        <f t="shared" si="12"/>
        <v/>
      </c>
      <c r="B226" s="2"/>
      <c r="C226" s="17"/>
      <c r="D226" s="2" t="str">
        <f t="shared" si="13"/>
        <v/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 t="str">
        <f t="shared" si="14"/>
        <v/>
      </c>
      <c r="V226" s="2"/>
      <c r="W226" s="2"/>
      <c r="X226" s="2"/>
      <c r="Y226" s="17"/>
      <c r="Z226" s="17"/>
      <c r="AA226" s="2" t="str">
        <f t="shared" ca="1" si="15"/>
        <v/>
      </c>
      <c r="AB226" s="2"/>
    </row>
    <row r="227" spans="1:28" x14ac:dyDescent="0.3">
      <c r="A227" s="2" t="str">
        <f t="shared" si="12"/>
        <v/>
      </c>
      <c r="B227" s="2"/>
      <c r="C227" s="17"/>
      <c r="D227" s="2" t="str">
        <f t="shared" si="13"/>
        <v/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 t="str">
        <f t="shared" si="14"/>
        <v/>
      </c>
      <c r="V227" s="2"/>
      <c r="W227" s="2"/>
      <c r="X227" s="2"/>
      <c r="Y227" s="17"/>
      <c r="Z227" s="17"/>
      <c r="AA227" s="2" t="str">
        <f t="shared" ca="1" si="15"/>
        <v/>
      </c>
      <c r="AB227" s="2"/>
    </row>
    <row r="228" spans="1:28" x14ac:dyDescent="0.3">
      <c r="A228" s="2" t="str">
        <f t="shared" si="12"/>
        <v/>
      </c>
      <c r="B228" s="2"/>
      <c r="C228" s="17"/>
      <c r="D228" s="2" t="str">
        <f t="shared" si="13"/>
        <v/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 t="str">
        <f t="shared" si="14"/>
        <v/>
      </c>
      <c r="V228" s="2"/>
      <c r="W228" s="2"/>
      <c r="X228" s="2"/>
      <c r="Y228" s="17"/>
      <c r="Z228" s="17"/>
      <c r="AA228" s="2" t="str">
        <f t="shared" ca="1" si="15"/>
        <v/>
      </c>
      <c r="AB228" s="2"/>
    </row>
    <row r="229" spans="1:28" x14ac:dyDescent="0.3">
      <c r="A229" s="2" t="str">
        <f t="shared" si="12"/>
        <v/>
      </c>
      <c r="B229" s="2"/>
      <c r="C229" s="17"/>
      <c r="D229" s="2" t="str">
        <f t="shared" si="13"/>
        <v/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 t="str">
        <f t="shared" si="14"/>
        <v/>
      </c>
      <c r="V229" s="2"/>
      <c r="W229" s="2"/>
      <c r="X229" s="2"/>
      <c r="Y229" s="17"/>
      <c r="Z229" s="17"/>
      <c r="AA229" s="2" t="str">
        <f t="shared" ca="1" si="15"/>
        <v/>
      </c>
      <c r="AB229" s="2"/>
    </row>
    <row r="230" spans="1:28" x14ac:dyDescent="0.3">
      <c r="A230" s="2" t="str">
        <f t="shared" si="12"/>
        <v/>
      </c>
      <c r="B230" s="2"/>
      <c r="C230" s="17"/>
      <c r="D230" s="2" t="str">
        <f t="shared" si="13"/>
        <v/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 t="str">
        <f t="shared" si="14"/>
        <v/>
      </c>
      <c r="V230" s="2"/>
      <c r="W230" s="2"/>
      <c r="X230" s="2"/>
      <c r="Y230" s="17"/>
      <c r="Z230" s="17"/>
      <c r="AA230" s="2" t="str">
        <f t="shared" ca="1" si="15"/>
        <v/>
      </c>
      <c r="AB230" s="2"/>
    </row>
    <row r="231" spans="1:28" x14ac:dyDescent="0.3">
      <c r="A231" s="2" t="str">
        <f t="shared" si="12"/>
        <v/>
      </c>
      <c r="B231" s="2"/>
      <c r="C231" s="17"/>
      <c r="D231" s="2" t="str">
        <f t="shared" si="13"/>
        <v/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tr">
        <f t="shared" si="14"/>
        <v/>
      </c>
      <c r="V231" s="2"/>
      <c r="W231" s="2"/>
      <c r="X231" s="2"/>
      <c r="Y231" s="17"/>
      <c r="Z231" s="17"/>
      <c r="AA231" s="2" t="str">
        <f t="shared" ca="1" si="15"/>
        <v/>
      </c>
      <c r="AB231" s="2"/>
    </row>
    <row r="232" spans="1:28" x14ac:dyDescent="0.3">
      <c r="A232" s="2" t="str">
        <f t="shared" si="12"/>
        <v/>
      </c>
      <c r="B232" s="2"/>
      <c r="C232" s="17"/>
      <c r="D232" s="2" t="str">
        <f t="shared" si="13"/>
        <v/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tr">
        <f t="shared" si="14"/>
        <v/>
      </c>
      <c r="V232" s="2"/>
      <c r="W232" s="2"/>
      <c r="X232" s="2"/>
      <c r="Y232" s="17"/>
      <c r="Z232" s="17"/>
      <c r="AA232" s="2" t="str">
        <f t="shared" ca="1" si="15"/>
        <v/>
      </c>
      <c r="AB232" s="2"/>
    </row>
    <row r="233" spans="1:28" x14ac:dyDescent="0.3">
      <c r="A233" s="2" t="str">
        <f t="shared" si="12"/>
        <v/>
      </c>
      <c r="B233" s="2"/>
      <c r="C233" s="17"/>
      <c r="D233" s="2" t="str">
        <f t="shared" si="13"/>
        <v/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tr">
        <f t="shared" si="14"/>
        <v/>
      </c>
      <c r="V233" s="2"/>
      <c r="W233" s="2"/>
      <c r="X233" s="2"/>
      <c r="Y233" s="17"/>
      <c r="Z233" s="17"/>
      <c r="AA233" s="2" t="str">
        <f t="shared" ca="1" si="15"/>
        <v/>
      </c>
      <c r="AB233" s="2"/>
    </row>
    <row r="234" spans="1:28" x14ac:dyDescent="0.3">
      <c r="A234" s="2" t="str">
        <f t="shared" si="12"/>
        <v/>
      </c>
      <c r="B234" s="2"/>
      <c r="C234" s="17"/>
      <c r="D234" s="2" t="str">
        <f t="shared" si="13"/>
        <v/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tr">
        <f t="shared" si="14"/>
        <v/>
      </c>
      <c r="V234" s="2"/>
      <c r="W234" s="2"/>
      <c r="X234" s="2"/>
      <c r="Y234" s="17"/>
      <c r="Z234" s="17"/>
      <c r="AA234" s="2" t="str">
        <f t="shared" ca="1" si="15"/>
        <v/>
      </c>
      <c r="AB234" s="2"/>
    </row>
    <row r="235" spans="1:28" x14ac:dyDescent="0.3">
      <c r="A235" s="2" t="str">
        <f t="shared" si="12"/>
        <v/>
      </c>
      <c r="B235" s="2"/>
      <c r="C235" s="17"/>
      <c r="D235" s="2" t="str">
        <f t="shared" si="13"/>
        <v/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tr">
        <f t="shared" si="14"/>
        <v/>
      </c>
      <c r="V235" s="2"/>
      <c r="W235" s="2"/>
      <c r="X235" s="2"/>
      <c r="Y235" s="17"/>
      <c r="Z235" s="17"/>
      <c r="AA235" s="2" t="str">
        <f t="shared" ca="1" si="15"/>
        <v/>
      </c>
      <c r="AB235" s="2"/>
    </row>
    <row r="236" spans="1:28" x14ac:dyDescent="0.3">
      <c r="A236" s="2" t="str">
        <f t="shared" si="12"/>
        <v/>
      </c>
      <c r="B236" s="2"/>
      <c r="C236" s="17"/>
      <c r="D236" s="2" t="str">
        <f t="shared" si="13"/>
        <v/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tr">
        <f t="shared" si="14"/>
        <v/>
      </c>
      <c r="V236" s="2"/>
      <c r="W236" s="2"/>
      <c r="X236" s="2"/>
      <c r="Y236" s="17"/>
      <c r="Z236" s="17"/>
      <c r="AA236" s="2" t="str">
        <f t="shared" ca="1" si="15"/>
        <v/>
      </c>
      <c r="AB236" s="2"/>
    </row>
    <row r="237" spans="1:28" x14ac:dyDescent="0.3">
      <c r="A237" s="2" t="str">
        <f t="shared" si="12"/>
        <v/>
      </c>
      <c r="B237" s="2"/>
      <c r="C237" s="17"/>
      <c r="D237" s="2" t="str">
        <f t="shared" si="13"/>
        <v/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tr">
        <f t="shared" si="14"/>
        <v/>
      </c>
      <c r="V237" s="2"/>
      <c r="W237" s="2"/>
      <c r="X237" s="2"/>
      <c r="Y237" s="17"/>
      <c r="Z237" s="17"/>
      <c r="AA237" s="2" t="str">
        <f t="shared" ca="1" si="15"/>
        <v/>
      </c>
      <c r="AB237" s="2"/>
    </row>
    <row r="238" spans="1:28" x14ac:dyDescent="0.3">
      <c r="A238" s="2" t="str">
        <f t="shared" si="12"/>
        <v/>
      </c>
      <c r="B238" s="2"/>
      <c r="C238" s="17"/>
      <c r="D238" s="2" t="str">
        <f t="shared" si="13"/>
        <v/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tr">
        <f t="shared" si="14"/>
        <v/>
      </c>
      <c r="V238" s="2"/>
      <c r="W238" s="2"/>
      <c r="X238" s="2"/>
      <c r="Y238" s="17"/>
      <c r="Z238" s="17"/>
      <c r="AA238" s="2" t="str">
        <f t="shared" ca="1" si="15"/>
        <v/>
      </c>
      <c r="AB238" s="2"/>
    </row>
    <row r="239" spans="1:28" x14ac:dyDescent="0.3">
      <c r="A239" s="2" t="str">
        <f t="shared" si="12"/>
        <v/>
      </c>
      <c r="B239" s="2"/>
      <c r="C239" s="17"/>
      <c r="D239" s="2" t="str">
        <f t="shared" si="13"/>
        <v/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 t="str">
        <f t="shared" si="14"/>
        <v/>
      </c>
      <c r="V239" s="2"/>
      <c r="W239" s="2"/>
      <c r="X239" s="2"/>
      <c r="Y239" s="17"/>
      <c r="Z239" s="17"/>
      <c r="AA239" s="2" t="str">
        <f t="shared" ca="1" si="15"/>
        <v/>
      </c>
      <c r="AB239" s="2"/>
    </row>
    <row r="240" spans="1:28" x14ac:dyDescent="0.3">
      <c r="A240" s="2" t="str">
        <f t="shared" si="12"/>
        <v/>
      </c>
      <c r="B240" s="2"/>
      <c r="C240" s="17"/>
      <c r="D240" s="2" t="str">
        <f t="shared" si="13"/>
        <v/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 t="str">
        <f t="shared" si="14"/>
        <v/>
      </c>
      <c r="V240" s="2"/>
      <c r="W240" s="2"/>
      <c r="X240" s="2"/>
      <c r="Y240" s="17"/>
      <c r="Z240" s="17"/>
      <c r="AA240" s="2" t="str">
        <f t="shared" ca="1" si="15"/>
        <v/>
      </c>
      <c r="AB240" s="2"/>
    </row>
    <row r="241" spans="1:28" x14ac:dyDescent="0.3">
      <c r="A241" s="2" t="str">
        <f t="shared" si="12"/>
        <v/>
      </c>
      <c r="B241" s="2"/>
      <c r="C241" s="17"/>
      <c r="D241" s="2" t="str">
        <f t="shared" si="13"/>
        <v/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tr">
        <f t="shared" si="14"/>
        <v/>
      </c>
      <c r="V241" s="2"/>
      <c r="W241" s="2"/>
      <c r="X241" s="2"/>
      <c r="Y241" s="17"/>
      <c r="Z241" s="17"/>
      <c r="AA241" s="2" t="str">
        <f t="shared" ca="1" si="15"/>
        <v/>
      </c>
      <c r="AB241" s="2"/>
    </row>
    <row r="242" spans="1:28" x14ac:dyDescent="0.3">
      <c r="A242" s="2" t="str">
        <f t="shared" si="12"/>
        <v/>
      </c>
      <c r="B242" s="2"/>
      <c r="C242" s="17"/>
      <c r="D242" s="2" t="str">
        <f t="shared" si="13"/>
        <v/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tr">
        <f t="shared" si="14"/>
        <v/>
      </c>
      <c r="V242" s="2"/>
      <c r="W242" s="2"/>
      <c r="X242" s="2"/>
      <c r="Y242" s="17"/>
      <c r="Z242" s="17"/>
      <c r="AA242" s="2" t="str">
        <f t="shared" ca="1" si="15"/>
        <v/>
      </c>
      <c r="AB242" s="2"/>
    </row>
    <row r="243" spans="1:28" x14ac:dyDescent="0.3">
      <c r="A243" s="2" t="str">
        <f t="shared" si="12"/>
        <v/>
      </c>
      <c r="B243" s="2"/>
      <c r="C243" s="17"/>
      <c r="D243" s="2" t="str">
        <f t="shared" si="13"/>
        <v/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tr">
        <f t="shared" si="14"/>
        <v/>
      </c>
      <c r="V243" s="2"/>
      <c r="W243" s="2"/>
      <c r="X243" s="2"/>
      <c r="Y243" s="17"/>
      <c r="Z243" s="17"/>
      <c r="AA243" s="2" t="str">
        <f t="shared" ca="1" si="15"/>
        <v/>
      </c>
      <c r="AB243" s="2"/>
    </row>
    <row r="244" spans="1:28" x14ac:dyDescent="0.3">
      <c r="A244" s="2" t="str">
        <f t="shared" si="12"/>
        <v/>
      </c>
      <c r="B244" s="2"/>
      <c r="C244" s="17"/>
      <c r="D244" s="2" t="str">
        <f t="shared" si="13"/>
        <v/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 t="str">
        <f t="shared" si="14"/>
        <v/>
      </c>
      <c r="V244" s="2"/>
      <c r="W244" s="2"/>
      <c r="X244" s="2"/>
      <c r="Y244" s="17"/>
      <c r="Z244" s="17"/>
      <c r="AA244" s="2" t="str">
        <f t="shared" ca="1" si="15"/>
        <v/>
      </c>
      <c r="AB244" s="2"/>
    </row>
    <row r="245" spans="1:28" x14ac:dyDescent="0.3">
      <c r="A245" s="2" t="str">
        <f t="shared" si="12"/>
        <v/>
      </c>
      <c r="B245" s="2"/>
      <c r="C245" s="17"/>
      <c r="D245" s="2" t="str">
        <f t="shared" si="13"/>
        <v/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tr">
        <f t="shared" si="14"/>
        <v/>
      </c>
      <c r="V245" s="2"/>
      <c r="W245" s="2"/>
      <c r="X245" s="2"/>
      <c r="Y245" s="17"/>
      <c r="Z245" s="17"/>
      <c r="AA245" s="2" t="str">
        <f t="shared" ca="1" si="15"/>
        <v/>
      </c>
      <c r="AB245" s="2"/>
    </row>
    <row r="246" spans="1:28" x14ac:dyDescent="0.3">
      <c r="A246" s="2" t="str">
        <f t="shared" si="12"/>
        <v/>
      </c>
      <c r="B246" s="2"/>
      <c r="C246" s="17"/>
      <c r="D246" s="2" t="str">
        <f t="shared" si="13"/>
        <v/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tr">
        <f t="shared" si="14"/>
        <v/>
      </c>
      <c r="V246" s="2"/>
      <c r="W246" s="2"/>
      <c r="X246" s="2"/>
      <c r="Y246" s="17"/>
      <c r="Z246" s="17"/>
      <c r="AA246" s="2" t="str">
        <f t="shared" ca="1" si="15"/>
        <v/>
      </c>
      <c r="AB246" s="2"/>
    </row>
    <row r="247" spans="1:28" x14ac:dyDescent="0.3">
      <c r="A247" s="2" t="str">
        <f t="shared" si="12"/>
        <v/>
      </c>
      <c r="B247" s="2"/>
      <c r="C247" s="17"/>
      <c r="D247" s="2" t="str">
        <f t="shared" si="13"/>
        <v/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tr">
        <f t="shared" si="14"/>
        <v/>
      </c>
      <c r="V247" s="2"/>
      <c r="W247" s="2"/>
      <c r="X247" s="2"/>
      <c r="Y247" s="17"/>
      <c r="Z247" s="17"/>
      <c r="AA247" s="2" t="str">
        <f t="shared" ca="1" si="15"/>
        <v/>
      </c>
      <c r="AB247" s="2"/>
    </row>
    <row r="248" spans="1:28" x14ac:dyDescent="0.3">
      <c r="A248" s="2" t="str">
        <f t="shared" si="12"/>
        <v/>
      </c>
      <c r="B248" s="2"/>
      <c r="C248" s="17"/>
      <c r="D248" s="2" t="str">
        <f t="shared" si="13"/>
        <v/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tr">
        <f t="shared" si="14"/>
        <v/>
      </c>
      <c r="V248" s="2"/>
      <c r="W248" s="2"/>
      <c r="X248" s="2"/>
      <c r="Y248" s="17"/>
      <c r="Z248" s="17"/>
      <c r="AA248" s="2" t="str">
        <f t="shared" ca="1" si="15"/>
        <v/>
      </c>
      <c r="AB248" s="2"/>
    </row>
    <row r="249" spans="1:28" x14ac:dyDescent="0.3">
      <c r="A249" s="2" t="str">
        <f t="shared" si="12"/>
        <v/>
      </c>
      <c r="B249" s="2"/>
      <c r="C249" s="17"/>
      <c r="D249" s="2" t="str">
        <f t="shared" si="13"/>
        <v/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 t="str">
        <f t="shared" si="14"/>
        <v/>
      </c>
      <c r="V249" s="2"/>
      <c r="W249" s="2"/>
      <c r="X249" s="2"/>
      <c r="Y249" s="17"/>
      <c r="Z249" s="17"/>
      <c r="AA249" s="2" t="str">
        <f t="shared" ca="1" si="15"/>
        <v/>
      </c>
      <c r="AB249" s="2"/>
    </row>
    <row r="250" spans="1:28" x14ac:dyDescent="0.3">
      <c r="A250" s="2" t="str">
        <f t="shared" si="12"/>
        <v/>
      </c>
      <c r="B250" s="2"/>
      <c r="C250" s="17"/>
      <c r="D250" s="2" t="str">
        <f t="shared" si="13"/>
        <v/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tr">
        <f t="shared" si="14"/>
        <v/>
      </c>
      <c r="V250" s="2"/>
      <c r="W250" s="2"/>
      <c r="X250" s="2"/>
      <c r="Y250" s="17"/>
      <c r="Z250" s="17"/>
      <c r="AA250" s="2" t="str">
        <f t="shared" ca="1" si="15"/>
        <v/>
      </c>
      <c r="AB250" s="2"/>
    </row>
    <row r="251" spans="1:28" x14ac:dyDescent="0.3">
      <c r="A251" s="2" t="str">
        <f t="shared" si="12"/>
        <v/>
      </c>
      <c r="B251" s="2"/>
      <c r="C251" s="17"/>
      <c r="D251" s="2" t="str">
        <f t="shared" si="13"/>
        <v/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tr">
        <f t="shared" si="14"/>
        <v/>
      </c>
      <c r="V251" s="2"/>
      <c r="W251" s="2"/>
      <c r="X251" s="2"/>
      <c r="Y251" s="17"/>
      <c r="Z251" s="17"/>
      <c r="AA251" s="2" t="str">
        <f t="shared" ca="1" si="15"/>
        <v/>
      </c>
      <c r="AB251" s="2"/>
    </row>
    <row r="252" spans="1:28" x14ac:dyDescent="0.3">
      <c r="A252" s="2" t="str">
        <f t="shared" si="12"/>
        <v/>
      </c>
      <c r="B252" s="2"/>
      <c r="C252" s="17"/>
      <c r="D252" s="2" t="str">
        <f t="shared" si="13"/>
        <v/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tr">
        <f t="shared" si="14"/>
        <v/>
      </c>
      <c r="V252" s="2"/>
      <c r="W252" s="2"/>
      <c r="X252" s="2"/>
      <c r="Y252" s="17"/>
      <c r="Z252" s="17"/>
      <c r="AA252" s="2" t="str">
        <f t="shared" ca="1" si="15"/>
        <v/>
      </c>
      <c r="AB252" s="2"/>
    </row>
    <row r="253" spans="1:28" x14ac:dyDescent="0.3">
      <c r="A253" s="2" t="str">
        <f t="shared" si="12"/>
        <v/>
      </c>
      <c r="B253" s="2"/>
      <c r="C253" s="17"/>
      <c r="D253" s="2" t="str">
        <f t="shared" si="13"/>
        <v/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tr">
        <f t="shared" si="14"/>
        <v/>
      </c>
      <c r="V253" s="2"/>
      <c r="W253" s="2"/>
      <c r="X253" s="2"/>
      <c r="Y253" s="17"/>
      <c r="Z253" s="17"/>
      <c r="AA253" s="2" t="str">
        <f t="shared" ca="1" si="15"/>
        <v/>
      </c>
      <c r="AB253" s="2"/>
    </row>
    <row r="254" spans="1:28" x14ac:dyDescent="0.3">
      <c r="A254" s="2" t="str">
        <f t="shared" si="12"/>
        <v/>
      </c>
      <c r="B254" s="2"/>
      <c r="C254" s="17"/>
      <c r="D254" s="2" t="str">
        <f t="shared" si="13"/>
        <v/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 t="str">
        <f t="shared" si="14"/>
        <v/>
      </c>
      <c r="V254" s="2"/>
      <c r="W254" s="2"/>
      <c r="X254" s="2"/>
      <c r="Y254" s="17"/>
      <c r="Z254" s="17"/>
      <c r="AA254" s="2" t="str">
        <f t="shared" ca="1" si="15"/>
        <v/>
      </c>
      <c r="AB254" s="2"/>
    </row>
    <row r="255" spans="1:28" x14ac:dyDescent="0.3">
      <c r="A255" s="2" t="str">
        <f t="shared" si="12"/>
        <v/>
      </c>
      <c r="B255" s="2"/>
      <c r="C255" s="17"/>
      <c r="D255" s="2" t="str">
        <f t="shared" si="13"/>
        <v/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tr">
        <f t="shared" si="14"/>
        <v/>
      </c>
      <c r="V255" s="2"/>
      <c r="W255" s="2"/>
      <c r="X255" s="2"/>
      <c r="Y255" s="17"/>
      <c r="Z255" s="17"/>
      <c r="AA255" s="2" t="str">
        <f t="shared" ca="1" si="15"/>
        <v/>
      </c>
      <c r="AB255" s="2"/>
    </row>
    <row r="256" spans="1:28" x14ac:dyDescent="0.3">
      <c r="A256" s="2" t="str">
        <f t="shared" si="12"/>
        <v/>
      </c>
      <c r="B256" s="2"/>
      <c r="C256" s="17"/>
      <c r="D256" s="2" t="str">
        <f t="shared" si="13"/>
        <v/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 t="str">
        <f t="shared" si="14"/>
        <v/>
      </c>
      <c r="V256" s="2"/>
      <c r="W256" s="2"/>
      <c r="X256" s="2"/>
      <c r="Y256" s="17"/>
      <c r="Z256" s="17"/>
      <c r="AA256" s="2" t="str">
        <f t="shared" ca="1" si="15"/>
        <v/>
      </c>
      <c r="AB256" s="2"/>
    </row>
    <row r="257" spans="1:28" x14ac:dyDescent="0.3">
      <c r="A257" s="2" t="str">
        <f t="shared" si="12"/>
        <v/>
      </c>
      <c r="B257" s="2"/>
      <c r="C257" s="17"/>
      <c r="D257" s="2" t="str">
        <f t="shared" si="13"/>
        <v/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 t="str">
        <f t="shared" si="14"/>
        <v/>
      </c>
      <c r="V257" s="2"/>
      <c r="W257" s="2"/>
      <c r="X257" s="2"/>
      <c r="Y257" s="17"/>
      <c r="Z257" s="17"/>
      <c r="AA257" s="2" t="str">
        <f t="shared" ca="1" si="15"/>
        <v/>
      </c>
      <c r="AB257" s="2"/>
    </row>
    <row r="258" spans="1:28" x14ac:dyDescent="0.3">
      <c r="A258" s="2" t="str">
        <f t="shared" ref="A258:A321" si="16">IF(C258="","",ROW()-1)</f>
        <v/>
      </c>
      <c r="B258" s="2"/>
      <c r="C258" s="17"/>
      <c r="D258" s="2" t="str">
        <f t="shared" ref="D258:D321" si="17">IF(C258="","",TEXT(C258,"mmm-yy"))</f>
        <v/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tr">
        <f t="shared" ref="U258:U321" si="18">IF(OR(N258="Y",N258="Yes"),S258,"")</f>
        <v/>
      </c>
      <c r="V258" s="2"/>
      <c r="W258" s="2"/>
      <c r="X258" s="2"/>
      <c r="Y258" s="17"/>
      <c r="Z258" s="17"/>
      <c r="AA258" s="2" t="str">
        <f t="shared" ref="AA258:AA321" ca="1" si="19">IF(C258="","",IF(Z258&lt;&gt;"","Closed",IF(Y258&lt;TODAY(),"Overdue","Open")))</f>
        <v/>
      </c>
      <c r="AB258" s="2"/>
    </row>
    <row r="259" spans="1:28" x14ac:dyDescent="0.3">
      <c r="A259" s="2" t="str">
        <f t="shared" si="16"/>
        <v/>
      </c>
      <c r="B259" s="2"/>
      <c r="C259" s="17"/>
      <c r="D259" s="2" t="str">
        <f t="shared" si="17"/>
        <v/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tr">
        <f t="shared" si="18"/>
        <v/>
      </c>
      <c r="V259" s="2"/>
      <c r="W259" s="2"/>
      <c r="X259" s="2"/>
      <c r="Y259" s="17"/>
      <c r="Z259" s="17"/>
      <c r="AA259" s="2" t="str">
        <f t="shared" ca="1" si="19"/>
        <v/>
      </c>
      <c r="AB259" s="2"/>
    </row>
    <row r="260" spans="1:28" x14ac:dyDescent="0.3">
      <c r="A260" s="2" t="str">
        <f t="shared" si="16"/>
        <v/>
      </c>
      <c r="B260" s="2"/>
      <c r="C260" s="17"/>
      <c r="D260" s="2" t="str">
        <f t="shared" si="17"/>
        <v/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 t="str">
        <f t="shared" si="18"/>
        <v/>
      </c>
      <c r="V260" s="2"/>
      <c r="W260" s="2"/>
      <c r="X260" s="2"/>
      <c r="Y260" s="17"/>
      <c r="Z260" s="17"/>
      <c r="AA260" s="2" t="str">
        <f t="shared" ca="1" si="19"/>
        <v/>
      </c>
      <c r="AB260" s="2"/>
    </row>
    <row r="261" spans="1:28" x14ac:dyDescent="0.3">
      <c r="A261" s="2" t="str">
        <f t="shared" si="16"/>
        <v/>
      </c>
      <c r="B261" s="2"/>
      <c r="C261" s="17"/>
      <c r="D261" s="2" t="str">
        <f t="shared" si="17"/>
        <v/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 t="str">
        <f t="shared" si="18"/>
        <v/>
      </c>
      <c r="V261" s="2"/>
      <c r="W261" s="2"/>
      <c r="X261" s="2"/>
      <c r="Y261" s="17"/>
      <c r="Z261" s="17"/>
      <c r="AA261" s="2" t="str">
        <f t="shared" ca="1" si="19"/>
        <v/>
      </c>
      <c r="AB261" s="2"/>
    </row>
    <row r="262" spans="1:28" x14ac:dyDescent="0.3">
      <c r="A262" s="2" t="str">
        <f t="shared" si="16"/>
        <v/>
      </c>
      <c r="B262" s="2"/>
      <c r="C262" s="17"/>
      <c r="D262" s="2" t="str">
        <f t="shared" si="17"/>
        <v/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 t="str">
        <f t="shared" si="18"/>
        <v/>
      </c>
      <c r="V262" s="2"/>
      <c r="W262" s="2"/>
      <c r="X262" s="2"/>
      <c r="Y262" s="17"/>
      <c r="Z262" s="17"/>
      <c r="AA262" s="2" t="str">
        <f t="shared" ca="1" si="19"/>
        <v/>
      </c>
      <c r="AB262" s="2"/>
    </row>
    <row r="263" spans="1:28" x14ac:dyDescent="0.3">
      <c r="A263" s="2" t="str">
        <f t="shared" si="16"/>
        <v/>
      </c>
      <c r="B263" s="2"/>
      <c r="C263" s="17"/>
      <c r="D263" s="2" t="str">
        <f t="shared" si="17"/>
        <v/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tr">
        <f t="shared" si="18"/>
        <v/>
      </c>
      <c r="V263" s="2"/>
      <c r="W263" s="2"/>
      <c r="X263" s="2"/>
      <c r="Y263" s="17"/>
      <c r="Z263" s="17"/>
      <c r="AA263" s="2" t="str">
        <f t="shared" ca="1" si="19"/>
        <v/>
      </c>
      <c r="AB263" s="2"/>
    </row>
    <row r="264" spans="1:28" x14ac:dyDescent="0.3">
      <c r="A264" s="2" t="str">
        <f t="shared" si="16"/>
        <v/>
      </c>
      <c r="B264" s="2"/>
      <c r="C264" s="17"/>
      <c r="D264" s="2" t="str">
        <f t="shared" si="17"/>
        <v/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tr">
        <f t="shared" si="18"/>
        <v/>
      </c>
      <c r="V264" s="2"/>
      <c r="W264" s="2"/>
      <c r="X264" s="2"/>
      <c r="Y264" s="17"/>
      <c r="Z264" s="17"/>
      <c r="AA264" s="2" t="str">
        <f t="shared" ca="1" si="19"/>
        <v/>
      </c>
      <c r="AB264" s="2"/>
    </row>
    <row r="265" spans="1:28" x14ac:dyDescent="0.3">
      <c r="A265" s="2" t="str">
        <f t="shared" si="16"/>
        <v/>
      </c>
      <c r="B265" s="2"/>
      <c r="C265" s="17"/>
      <c r="D265" s="2" t="str">
        <f t="shared" si="17"/>
        <v/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tr">
        <f t="shared" si="18"/>
        <v/>
      </c>
      <c r="V265" s="2"/>
      <c r="W265" s="2"/>
      <c r="X265" s="2"/>
      <c r="Y265" s="17"/>
      <c r="Z265" s="17"/>
      <c r="AA265" s="2" t="str">
        <f t="shared" ca="1" si="19"/>
        <v/>
      </c>
      <c r="AB265" s="2"/>
    </row>
    <row r="266" spans="1:28" x14ac:dyDescent="0.3">
      <c r="A266" s="2" t="str">
        <f t="shared" si="16"/>
        <v/>
      </c>
      <c r="B266" s="2"/>
      <c r="C266" s="17"/>
      <c r="D266" s="2" t="str">
        <f t="shared" si="17"/>
        <v/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 t="str">
        <f t="shared" si="18"/>
        <v/>
      </c>
      <c r="V266" s="2"/>
      <c r="W266" s="2"/>
      <c r="X266" s="2"/>
      <c r="Y266" s="17"/>
      <c r="Z266" s="17"/>
      <c r="AA266" s="2" t="str">
        <f t="shared" ca="1" si="19"/>
        <v/>
      </c>
      <c r="AB266" s="2"/>
    </row>
    <row r="267" spans="1:28" x14ac:dyDescent="0.3">
      <c r="A267" s="2" t="str">
        <f t="shared" si="16"/>
        <v/>
      </c>
      <c r="B267" s="2"/>
      <c r="C267" s="17"/>
      <c r="D267" s="2" t="str">
        <f t="shared" si="17"/>
        <v/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tr">
        <f t="shared" si="18"/>
        <v/>
      </c>
      <c r="V267" s="2"/>
      <c r="W267" s="2"/>
      <c r="X267" s="2"/>
      <c r="Y267" s="17"/>
      <c r="Z267" s="17"/>
      <c r="AA267" s="2" t="str">
        <f t="shared" ca="1" si="19"/>
        <v/>
      </c>
      <c r="AB267" s="2"/>
    </row>
    <row r="268" spans="1:28" x14ac:dyDescent="0.3">
      <c r="A268" s="2" t="str">
        <f t="shared" si="16"/>
        <v/>
      </c>
      <c r="B268" s="2"/>
      <c r="C268" s="17"/>
      <c r="D268" s="2" t="str">
        <f t="shared" si="17"/>
        <v/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tr">
        <f t="shared" si="18"/>
        <v/>
      </c>
      <c r="V268" s="2"/>
      <c r="W268" s="2"/>
      <c r="X268" s="2"/>
      <c r="Y268" s="17"/>
      <c r="Z268" s="17"/>
      <c r="AA268" s="2" t="str">
        <f t="shared" ca="1" si="19"/>
        <v/>
      </c>
      <c r="AB268" s="2"/>
    </row>
    <row r="269" spans="1:28" x14ac:dyDescent="0.3">
      <c r="A269" s="2" t="str">
        <f t="shared" si="16"/>
        <v/>
      </c>
      <c r="B269" s="2"/>
      <c r="C269" s="17"/>
      <c r="D269" s="2" t="str">
        <f t="shared" si="17"/>
        <v/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tr">
        <f t="shared" si="18"/>
        <v/>
      </c>
      <c r="V269" s="2"/>
      <c r="W269" s="2"/>
      <c r="X269" s="2"/>
      <c r="Y269" s="17"/>
      <c r="Z269" s="17"/>
      <c r="AA269" s="2" t="str">
        <f t="shared" ca="1" si="19"/>
        <v/>
      </c>
      <c r="AB269" s="2"/>
    </row>
    <row r="270" spans="1:28" x14ac:dyDescent="0.3">
      <c r="A270" s="2" t="str">
        <f t="shared" si="16"/>
        <v/>
      </c>
      <c r="B270" s="2"/>
      <c r="C270" s="17"/>
      <c r="D270" s="2" t="str">
        <f t="shared" si="17"/>
        <v/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 t="str">
        <f t="shared" si="18"/>
        <v/>
      </c>
      <c r="V270" s="2"/>
      <c r="W270" s="2"/>
      <c r="X270" s="2"/>
      <c r="Y270" s="17"/>
      <c r="Z270" s="17"/>
      <c r="AA270" s="2" t="str">
        <f t="shared" ca="1" si="19"/>
        <v/>
      </c>
      <c r="AB270" s="2"/>
    </row>
    <row r="271" spans="1:28" x14ac:dyDescent="0.3">
      <c r="A271" s="2" t="str">
        <f t="shared" si="16"/>
        <v/>
      </c>
      <c r="B271" s="2"/>
      <c r="C271" s="17"/>
      <c r="D271" s="2" t="str">
        <f t="shared" si="17"/>
        <v/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tr">
        <f t="shared" si="18"/>
        <v/>
      </c>
      <c r="V271" s="2"/>
      <c r="W271" s="2"/>
      <c r="X271" s="2"/>
      <c r="Y271" s="17"/>
      <c r="Z271" s="17"/>
      <c r="AA271" s="2" t="str">
        <f t="shared" ca="1" si="19"/>
        <v/>
      </c>
      <c r="AB271" s="2"/>
    </row>
    <row r="272" spans="1:28" x14ac:dyDescent="0.3">
      <c r="A272" s="2" t="str">
        <f t="shared" si="16"/>
        <v/>
      </c>
      <c r="B272" s="2"/>
      <c r="C272" s="17"/>
      <c r="D272" s="2" t="str">
        <f t="shared" si="17"/>
        <v/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 t="str">
        <f t="shared" si="18"/>
        <v/>
      </c>
      <c r="V272" s="2"/>
      <c r="W272" s="2"/>
      <c r="X272" s="2"/>
      <c r="Y272" s="17"/>
      <c r="Z272" s="17"/>
      <c r="AA272" s="2" t="str">
        <f t="shared" ca="1" si="19"/>
        <v/>
      </c>
      <c r="AB272" s="2"/>
    </row>
    <row r="273" spans="1:28" x14ac:dyDescent="0.3">
      <c r="A273" s="2" t="str">
        <f t="shared" si="16"/>
        <v/>
      </c>
      <c r="B273" s="2"/>
      <c r="C273" s="17"/>
      <c r="D273" s="2" t="str">
        <f t="shared" si="17"/>
        <v/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 t="str">
        <f t="shared" si="18"/>
        <v/>
      </c>
      <c r="V273" s="2"/>
      <c r="W273" s="2"/>
      <c r="X273" s="2"/>
      <c r="Y273" s="17"/>
      <c r="Z273" s="17"/>
      <c r="AA273" s="2" t="str">
        <f t="shared" ca="1" si="19"/>
        <v/>
      </c>
      <c r="AB273" s="2"/>
    </row>
    <row r="274" spans="1:28" x14ac:dyDescent="0.3">
      <c r="A274" s="2" t="str">
        <f t="shared" si="16"/>
        <v/>
      </c>
      <c r="B274" s="2"/>
      <c r="C274" s="17"/>
      <c r="D274" s="2" t="str">
        <f t="shared" si="17"/>
        <v/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tr">
        <f t="shared" si="18"/>
        <v/>
      </c>
      <c r="V274" s="2"/>
      <c r="W274" s="2"/>
      <c r="X274" s="2"/>
      <c r="Y274" s="17"/>
      <c r="Z274" s="17"/>
      <c r="AA274" s="2" t="str">
        <f t="shared" ca="1" si="19"/>
        <v/>
      </c>
      <c r="AB274" s="2"/>
    </row>
    <row r="275" spans="1:28" x14ac:dyDescent="0.3">
      <c r="A275" s="2" t="str">
        <f t="shared" si="16"/>
        <v/>
      </c>
      <c r="B275" s="2"/>
      <c r="C275" s="17"/>
      <c r="D275" s="2" t="str">
        <f t="shared" si="17"/>
        <v/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tr">
        <f t="shared" si="18"/>
        <v/>
      </c>
      <c r="V275" s="2"/>
      <c r="W275" s="2"/>
      <c r="X275" s="2"/>
      <c r="Y275" s="17"/>
      <c r="Z275" s="17"/>
      <c r="AA275" s="2" t="str">
        <f t="shared" ca="1" si="19"/>
        <v/>
      </c>
      <c r="AB275" s="2"/>
    </row>
    <row r="276" spans="1:28" x14ac:dyDescent="0.3">
      <c r="A276" s="2" t="str">
        <f t="shared" si="16"/>
        <v/>
      </c>
      <c r="B276" s="2"/>
      <c r="C276" s="17"/>
      <c r="D276" s="2" t="str">
        <f t="shared" si="17"/>
        <v/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 t="str">
        <f t="shared" si="18"/>
        <v/>
      </c>
      <c r="V276" s="2"/>
      <c r="W276" s="2"/>
      <c r="X276" s="2"/>
      <c r="Y276" s="17"/>
      <c r="Z276" s="17"/>
      <c r="AA276" s="2" t="str">
        <f t="shared" ca="1" si="19"/>
        <v/>
      </c>
      <c r="AB276" s="2"/>
    </row>
    <row r="277" spans="1:28" x14ac:dyDescent="0.3">
      <c r="A277" s="2" t="str">
        <f t="shared" si="16"/>
        <v/>
      </c>
      <c r="B277" s="2"/>
      <c r="C277" s="17"/>
      <c r="D277" s="2" t="str">
        <f t="shared" si="17"/>
        <v/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tr">
        <f t="shared" si="18"/>
        <v/>
      </c>
      <c r="V277" s="2"/>
      <c r="W277" s="2"/>
      <c r="X277" s="2"/>
      <c r="Y277" s="17"/>
      <c r="Z277" s="17"/>
      <c r="AA277" s="2" t="str">
        <f t="shared" ca="1" si="19"/>
        <v/>
      </c>
      <c r="AB277" s="2"/>
    </row>
    <row r="278" spans="1:28" x14ac:dyDescent="0.3">
      <c r="A278" s="2" t="str">
        <f t="shared" si="16"/>
        <v/>
      </c>
      <c r="B278" s="2"/>
      <c r="C278" s="17"/>
      <c r="D278" s="2" t="str">
        <f t="shared" si="17"/>
        <v/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 t="str">
        <f t="shared" si="18"/>
        <v/>
      </c>
      <c r="V278" s="2"/>
      <c r="W278" s="2"/>
      <c r="X278" s="2"/>
      <c r="Y278" s="17"/>
      <c r="Z278" s="17"/>
      <c r="AA278" s="2" t="str">
        <f t="shared" ca="1" si="19"/>
        <v/>
      </c>
      <c r="AB278" s="2"/>
    </row>
    <row r="279" spans="1:28" x14ac:dyDescent="0.3">
      <c r="A279" s="2" t="str">
        <f t="shared" si="16"/>
        <v/>
      </c>
      <c r="B279" s="2"/>
      <c r="C279" s="17"/>
      <c r="D279" s="2" t="str">
        <f t="shared" si="17"/>
        <v/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tr">
        <f t="shared" si="18"/>
        <v/>
      </c>
      <c r="V279" s="2"/>
      <c r="W279" s="2"/>
      <c r="X279" s="2"/>
      <c r="Y279" s="17"/>
      <c r="Z279" s="17"/>
      <c r="AA279" s="2" t="str">
        <f t="shared" ca="1" si="19"/>
        <v/>
      </c>
      <c r="AB279" s="2"/>
    </row>
    <row r="280" spans="1:28" x14ac:dyDescent="0.3">
      <c r="A280" s="2" t="str">
        <f t="shared" si="16"/>
        <v/>
      </c>
      <c r="B280" s="2"/>
      <c r="C280" s="17"/>
      <c r="D280" s="2" t="str">
        <f t="shared" si="17"/>
        <v/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 t="str">
        <f t="shared" si="18"/>
        <v/>
      </c>
      <c r="V280" s="2"/>
      <c r="W280" s="2"/>
      <c r="X280" s="2"/>
      <c r="Y280" s="17"/>
      <c r="Z280" s="17"/>
      <c r="AA280" s="2" t="str">
        <f t="shared" ca="1" si="19"/>
        <v/>
      </c>
      <c r="AB280" s="2"/>
    </row>
    <row r="281" spans="1:28" x14ac:dyDescent="0.3">
      <c r="A281" s="2" t="str">
        <f t="shared" si="16"/>
        <v/>
      </c>
      <c r="B281" s="2"/>
      <c r="C281" s="17"/>
      <c r="D281" s="2" t="str">
        <f t="shared" si="17"/>
        <v/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tr">
        <f t="shared" si="18"/>
        <v/>
      </c>
      <c r="V281" s="2"/>
      <c r="W281" s="2"/>
      <c r="X281" s="2"/>
      <c r="Y281" s="17"/>
      <c r="Z281" s="17"/>
      <c r="AA281" s="2" t="str">
        <f t="shared" ca="1" si="19"/>
        <v/>
      </c>
      <c r="AB281" s="2"/>
    </row>
    <row r="282" spans="1:28" x14ac:dyDescent="0.3">
      <c r="A282" s="2" t="str">
        <f t="shared" si="16"/>
        <v/>
      </c>
      <c r="B282" s="2"/>
      <c r="C282" s="17"/>
      <c r="D282" s="2" t="str">
        <f t="shared" si="17"/>
        <v/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tr">
        <f t="shared" si="18"/>
        <v/>
      </c>
      <c r="V282" s="2"/>
      <c r="W282" s="2"/>
      <c r="X282" s="2"/>
      <c r="Y282" s="17"/>
      <c r="Z282" s="17"/>
      <c r="AA282" s="2" t="str">
        <f t="shared" ca="1" si="19"/>
        <v/>
      </c>
      <c r="AB282" s="2"/>
    </row>
    <row r="283" spans="1:28" x14ac:dyDescent="0.3">
      <c r="A283" s="2" t="str">
        <f t="shared" si="16"/>
        <v/>
      </c>
      <c r="B283" s="2"/>
      <c r="C283" s="17"/>
      <c r="D283" s="2" t="str">
        <f t="shared" si="17"/>
        <v/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 t="str">
        <f t="shared" si="18"/>
        <v/>
      </c>
      <c r="V283" s="2"/>
      <c r="W283" s="2"/>
      <c r="X283" s="2"/>
      <c r="Y283" s="17"/>
      <c r="Z283" s="17"/>
      <c r="AA283" s="2" t="str">
        <f t="shared" ca="1" si="19"/>
        <v/>
      </c>
      <c r="AB283" s="2"/>
    </row>
    <row r="284" spans="1:28" x14ac:dyDescent="0.3">
      <c r="A284" s="2" t="str">
        <f t="shared" si="16"/>
        <v/>
      </c>
      <c r="B284" s="2"/>
      <c r="C284" s="17"/>
      <c r="D284" s="2" t="str">
        <f t="shared" si="17"/>
        <v/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tr">
        <f t="shared" si="18"/>
        <v/>
      </c>
      <c r="V284" s="2"/>
      <c r="W284" s="2"/>
      <c r="X284" s="2"/>
      <c r="Y284" s="17"/>
      <c r="Z284" s="17"/>
      <c r="AA284" s="2" t="str">
        <f t="shared" ca="1" si="19"/>
        <v/>
      </c>
      <c r="AB284" s="2"/>
    </row>
    <row r="285" spans="1:28" x14ac:dyDescent="0.3">
      <c r="A285" s="2" t="str">
        <f t="shared" si="16"/>
        <v/>
      </c>
      <c r="B285" s="2"/>
      <c r="C285" s="17"/>
      <c r="D285" s="2" t="str">
        <f t="shared" si="17"/>
        <v/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tr">
        <f t="shared" si="18"/>
        <v/>
      </c>
      <c r="V285" s="2"/>
      <c r="W285" s="2"/>
      <c r="X285" s="2"/>
      <c r="Y285" s="17"/>
      <c r="Z285" s="17"/>
      <c r="AA285" s="2" t="str">
        <f t="shared" ca="1" si="19"/>
        <v/>
      </c>
      <c r="AB285" s="2"/>
    </row>
    <row r="286" spans="1:28" x14ac:dyDescent="0.3">
      <c r="A286" s="2" t="str">
        <f t="shared" si="16"/>
        <v/>
      </c>
      <c r="B286" s="2"/>
      <c r="C286" s="17"/>
      <c r="D286" s="2" t="str">
        <f t="shared" si="17"/>
        <v/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 t="str">
        <f t="shared" si="18"/>
        <v/>
      </c>
      <c r="V286" s="2"/>
      <c r="W286" s="2"/>
      <c r="X286" s="2"/>
      <c r="Y286" s="17"/>
      <c r="Z286" s="17"/>
      <c r="AA286" s="2" t="str">
        <f t="shared" ca="1" si="19"/>
        <v/>
      </c>
      <c r="AB286" s="2"/>
    </row>
    <row r="287" spans="1:28" x14ac:dyDescent="0.3">
      <c r="A287" s="2" t="str">
        <f t="shared" si="16"/>
        <v/>
      </c>
      <c r="B287" s="2"/>
      <c r="C287" s="17"/>
      <c r="D287" s="2" t="str">
        <f t="shared" si="17"/>
        <v/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tr">
        <f t="shared" si="18"/>
        <v/>
      </c>
      <c r="V287" s="2"/>
      <c r="W287" s="2"/>
      <c r="X287" s="2"/>
      <c r="Y287" s="17"/>
      <c r="Z287" s="17"/>
      <c r="AA287" s="2" t="str">
        <f t="shared" ca="1" si="19"/>
        <v/>
      </c>
      <c r="AB287" s="2"/>
    </row>
    <row r="288" spans="1:28" x14ac:dyDescent="0.3">
      <c r="A288" s="2" t="str">
        <f t="shared" si="16"/>
        <v/>
      </c>
      <c r="B288" s="2"/>
      <c r="C288" s="17"/>
      <c r="D288" s="2" t="str">
        <f t="shared" si="17"/>
        <v/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tr">
        <f t="shared" si="18"/>
        <v/>
      </c>
      <c r="V288" s="2"/>
      <c r="W288" s="2"/>
      <c r="X288" s="2"/>
      <c r="Y288" s="17"/>
      <c r="Z288" s="17"/>
      <c r="AA288" s="2" t="str">
        <f t="shared" ca="1" si="19"/>
        <v/>
      </c>
      <c r="AB288" s="2"/>
    </row>
    <row r="289" spans="1:28" x14ac:dyDescent="0.3">
      <c r="A289" s="2" t="str">
        <f t="shared" si="16"/>
        <v/>
      </c>
      <c r="B289" s="2"/>
      <c r="C289" s="17"/>
      <c r="D289" s="2" t="str">
        <f t="shared" si="17"/>
        <v/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 t="str">
        <f t="shared" si="18"/>
        <v/>
      </c>
      <c r="V289" s="2"/>
      <c r="W289" s="2"/>
      <c r="X289" s="2"/>
      <c r="Y289" s="17"/>
      <c r="Z289" s="17"/>
      <c r="AA289" s="2" t="str">
        <f t="shared" ca="1" si="19"/>
        <v/>
      </c>
      <c r="AB289" s="2"/>
    </row>
    <row r="290" spans="1:28" x14ac:dyDescent="0.3">
      <c r="A290" s="2" t="str">
        <f t="shared" si="16"/>
        <v/>
      </c>
      <c r="B290" s="2"/>
      <c r="C290" s="17"/>
      <c r="D290" s="2" t="str">
        <f t="shared" si="17"/>
        <v/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 t="str">
        <f t="shared" si="18"/>
        <v/>
      </c>
      <c r="V290" s="2"/>
      <c r="W290" s="2"/>
      <c r="X290" s="2"/>
      <c r="Y290" s="17"/>
      <c r="Z290" s="17"/>
      <c r="AA290" s="2" t="str">
        <f t="shared" ca="1" si="19"/>
        <v/>
      </c>
      <c r="AB290" s="2"/>
    </row>
    <row r="291" spans="1:28" x14ac:dyDescent="0.3">
      <c r="A291" s="2" t="str">
        <f t="shared" si="16"/>
        <v/>
      </c>
      <c r="B291" s="2"/>
      <c r="C291" s="17"/>
      <c r="D291" s="2" t="str">
        <f t="shared" si="17"/>
        <v/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tr">
        <f t="shared" si="18"/>
        <v/>
      </c>
      <c r="V291" s="2"/>
      <c r="W291" s="2"/>
      <c r="X291" s="2"/>
      <c r="Y291" s="17"/>
      <c r="Z291" s="17"/>
      <c r="AA291" s="2" t="str">
        <f t="shared" ca="1" si="19"/>
        <v/>
      </c>
      <c r="AB291" s="2"/>
    </row>
    <row r="292" spans="1:28" x14ac:dyDescent="0.3">
      <c r="A292" s="2" t="str">
        <f t="shared" si="16"/>
        <v/>
      </c>
      <c r="B292" s="2"/>
      <c r="C292" s="17"/>
      <c r="D292" s="2" t="str">
        <f t="shared" si="17"/>
        <v/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tr">
        <f t="shared" si="18"/>
        <v/>
      </c>
      <c r="V292" s="2"/>
      <c r="W292" s="2"/>
      <c r="X292" s="2"/>
      <c r="Y292" s="17"/>
      <c r="Z292" s="17"/>
      <c r="AA292" s="2" t="str">
        <f t="shared" ca="1" si="19"/>
        <v/>
      </c>
      <c r="AB292" s="2"/>
    </row>
    <row r="293" spans="1:28" x14ac:dyDescent="0.3">
      <c r="A293" s="2" t="str">
        <f t="shared" si="16"/>
        <v/>
      </c>
      <c r="B293" s="2"/>
      <c r="C293" s="17"/>
      <c r="D293" s="2" t="str">
        <f t="shared" si="17"/>
        <v/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 t="str">
        <f t="shared" si="18"/>
        <v/>
      </c>
      <c r="V293" s="2"/>
      <c r="W293" s="2"/>
      <c r="X293" s="2"/>
      <c r="Y293" s="17"/>
      <c r="Z293" s="17"/>
      <c r="AA293" s="2" t="str">
        <f t="shared" ca="1" si="19"/>
        <v/>
      </c>
      <c r="AB293" s="2"/>
    </row>
    <row r="294" spans="1:28" x14ac:dyDescent="0.3">
      <c r="A294" s="2" t="str">
        <f t="shared" si="16"/>
        <v/>
      </c>
      <c r="B294" s="2"/>
      <c r="C294" s="17"/>
      <c r="D294" s="2" t="str">
        <f t="shared" si="17"/>
        <v/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tr">
        <f t="shared" si="18"/>
        <v/>
      </c>
      <c r="V294" s="2"/>
      <c r="W294" s="2"/>
      <c r="X294" s="2"/>
      <c r="Y294" s="17"/>
      <c r="Z294" s="17"/>
      <c r="AA294" s="2" t="str">
        <f t="shared" ca="1" si="19"/>
        <v/>
      </c>
      <c r="AB294" s="2"/>
    </row>
    <row r="295" spans="1:28" x14ac:dyDescent="0.3">
      <c r="A295" s="2" t="str">
        <f t="shared" si="16"/>
        <v/>
      </c>
      <c r="B295" s="2"/>
      <c r="C295" s="17"/>
      <c r="D295" s="2" t="str">
        <f t="shared" si="17"/>
        <v/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 t="str">
        <f t="shared" si="18"/>
        <v/>
      </c>
      <c r="V295" s="2"/>
      <c r="W295" s="2"/>
      <c r="X295" s="2"/>
      <c r="Y295" s="17"/>
      <c r="Z295" s="17"/>
      <c r="AA295" s="2" t="str">
        <f t="shared" ca="1" si="19"/>
        <v/>
      </c>
      <c r="AB295" s="2"/>
    </row>
    <row r="296" spans="1:28" x14ac:dyDescent="0.3">
      <c r="A296" s="2" t="str">
        <f t="shared" si="16"/>
        <v/>
      </c>
      <c r="B296" s="2"/>
      <c r="C296" s="17"/>
      <c r="D296" s="2" t="str">
        <f t="shared" si="17"/>
        <v/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tr">
        <f t="shared" si="18"/>
        <v/>
      </c>
      <c r="V296" s="2"/>
      <c r="W296" s="2"/>
      <c r="X296" s="2"/>
      <c r="Y296" s="17"/>
      <c r="Z296" s="17"/>
      <c r="AA296" s="2" t="str">
        <f t="shared" ca="1" si="19"/>
        <v/>
      </c>
      <c r="AB296" s="2"/>
    </row>
    <row r="297" spans="1:28" x14ac:dyDescent="0.3">
      <c r="A297" s="2" t="str">
        <f t="shared" si="16"/>
        <v/>
      </c>
      <c r="B297" s="2"/>
      <c r="C297" s="17"/>
      <c r="D297" s="2" t="str">
        <f t="shared" si="17"/>
        <v/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 t="str">
        <f t="shared" si="18"/>
        <v/>
      </c>
      <c r="V297" s="2"/>
      <c r="W297" s="2"/>
      <c r="X297" s="2"/>
      <c r="Y297" s="17"/>
      <c r="Z297" s="17"/>
      <c r="AA297" s="2" t="str">
        <f t="shared" ca="1" si="19"/>
        <v/>
      </c>
      <c r="AB297" s="2"/>
    </row>
    <row r="298" spans="1:28" x14ac:dyDescent="0.3">
      <c r="A298" s="2" t="str">
        <f t="shared" si="16"/>
        <v/>
      </c>
      <c r="B298" s="2"/>
      <c r="C298" s="17"/>
      <c r="D298" s="2" t="str">
        <f t="shared" si="17"/>
        <v/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tr">
        <f t="shared" si="18"/>
        <v/>
      </c>
      <c r="V298" s="2"/>
      <c r="W298" s="2"/>
      <c r="X298" s="2"/>
      <c r="Y298" s="17"/>
      <c r="Z298" s="17"/>
      <c r="AA298" s="2" t="str">
        <f t="shared" ca="1" si="19"/>
        <v/>
      </c>
      <c r="AB298" s="2"/>
    </row>
    <row r="299" spans="1:28" x14ac:dyDescent="0.3">
      <c r="A299" s="2" t="str">
        <f t="shared" si="16"/>
        <v/>
      </c>
      <c r="B299" s="2"/>
      <c r="C299" s="17"/>
      <c r="D299" s="2" t="str">
        <f t="shared" si="17"/>
        <v/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 t="str">
        <f t="shared" si="18"/>
        <v/>
      </c>
      <c r="V299" s="2"/>
      <c r="W299" s="2"/>
      <c r="X299" s="2"/>
      <c r="Y299" s="17"/>
      <c r="Z299" s="17"/>
      <c r="AA299" s="2" t="str">
        <f t="shared" ca="1" si="19"/>
        <v/>
      </c>
      <c r="AB299" s="2"/>
    </row>
    <row r="300" spans="1:28" x14ac:dyDescent="0.3">
      <c r="A300" s="2" t="str">
        <f t="shared" si="16"/>
        <v/>
      </c>
      <c r="B300" s="2"/>
      <c r="C300" s="17"/>
      <c r="D300" s="2" t="str">
        <f t="shared" si="17"/>
        <v/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tr">
        <f t="shared" si="18"/>
        <v/>
      </c>
      <c r="V300" s="2"/>
      <c r="W300" s="2"/>
      <c r="X300" s="2"/>
      <c r="Y300" s="17"/>
      <c r="Z300" s="17"/>
      <c r="AA300" s="2" t="str">
        <f t="shared" ca="1" si="19"/>
        <v/>
      </c>
      <c r="AB300" s="2"/>
    </row>
    <row r="301" spans="1:28" x14ac:dyDescent="0.3">
      <c r="A301" s="2" t="str">
        <f t="shared" si="16"/>
        <v/>
      </c>
      <c r="B301" s="2"/>
      <c r="C301" s="17"/>
      <c r="D301" s="2" t="str">
        <f t="shared" si="17"/>
        <v/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 t="str">
        <f t="shared" si="18"/>
        <v/>
      </c>
      <c r="V301" s="2"/>
      <c r="W301" s="2"/>
      <c r="X301" s="2"/>
      <c r="Y301" s="17"/>
      <c r="Z301" s="17"/>
      <c r="AA301" s="2" t="str">
        <f t="shared" ca="1" si="19"/>
        <v/>
      </c>
      <c r="AB301" s="2"/>
    </row>
    <row r="302" spans="1:28" x14ac:dyDescent="0.3">
      <c r="A302" s="2" t="str">
        <f t="shared" si="16"/>
        <v/>
      </c>
      <c r="B302" s="2"/>
      <c r="C302" s="17"/>
      <c r="D302" s="2" t="str">
        <f t="shared" si="17"/>
        <v/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 t="str">
        <f t="shared" si="18"/>
        <v/>
      </c>
      <c r="V302" s="2"/>
      <c r="W302" s="2"/>
      <c r="X302" s="2"/>
      <c r="Y302" s="17"/>
      <c r="Z302" s="17"/>
      <c r="AA302" s="2" t="str">
        <f t="shared" ca="1" si="19"/>
        <v/>
      </c>
      <c r="AB302" s="2"/>
    </row>
    <row r="303" spans="1:28" x14ac:dyDescent="0.3">
      <c r="A303" s="2" t="str">
        <f t="shared" si="16"/>
        <v/>
      </c>
      <c r="B303" s="2"/>
      <c r="C303" s="17"/>
      <c r="D303" s="2" t="str">
        <f t="shared" si="17"/>
        <v/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 t="str">
        <f t="shared" si="18"/>
        <v/>
      </c>
      <c r="V303" s="2"/>
      <c r="W303" s="2"/>
      <c r="X303" s="2"/>
      <c r="Y303" s="17"/>
      <c r="Z303" s="17"/>
      <c r="AA303" s="2" t="str">
        <f t="shared" ca="1" si="19"/>
        <v/>
      </c>
      <c r="AB303" s="2"/>
    </row>
    <row r="304" spans="1:28" x14ac:dyDescent="0.3">
      <c r="A304" s="2" t="str">
        <f t="shared" si="16"/>
        <v/>
      </c>
      <c r="B304" s="2"/>
      <c r="C304" s="17"/>
      <c r="D304" s="2" t="str">
        <f t="shared" si="17"/>
        <v/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 t="str">
        <f t="shared" si="18"/>
        <v/>
      </c>
      <c r="V304" s="2"/>
      <c r="W304" s="2"/>
      <c r="X304" s="2"/>
      <c r="Y304" s="17"/>
      <c r="Z304" s="17"/>
      <c r="AA304" s="2" t="str">
        <f t="shared" ca="1" si="19"/>
        <v/>
      </c>
      <c r="AB304" s="2"/>
    </row>
    <row r="305" spans="1:28" x14ac:dyDescent="0.3">
      <c r="A305" s="2" t="str">
        <f t="shared" si="16"/>
        <v/>
      </c>
      <c r="B305" s="2"/>
      <c r="C305" s="17"/>
      <c r="D305" s="2" t="str">
        <f t="shared" si="17"/>
        <v/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 t="str">
        <f t="shared" si="18"/>
        <v/>
      </c>
      <c r="V305" s="2"/>
      <c r="W305" s="2"/>
      <c r="X305" s="2"/>
      <c r="Y305" s="17"/>
      <c r="Z305" s="17"/>
      <c r="AA305" s="2" t="str">
        <f t="shared" ca="1" si="19"/>
        <v/>
      </c>
      <c r="AB305" s="2"/>
    </row>
    <row r="306" spans="1:28" x14ac:dyDescent="0.3">
      <c r="A306" s="2" t="str">
        <f t="shared" si="16"/>
        <v/>
      </c>
      <c r="B306" s="2"/>
      <c r="C306" s="17"/>
      <c r="D306" s="2" t="str">
        <f t="shared" si="17"/>
        <v/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 t="str">
        <f t="shared" si="18"/>
        <v/>
      </c>
      <c r="V306" s="2"/>
      <c r="W306" s="2"/>
      <c r="X306" s="2"/>
      <c r="Y306" s="17"/>
      <c r="Z306" s="17"/>
      <c r="AA306" s="2" t="str">
        <f t="shared" ca="1" si="19"/>
        <v/>
      </c>
      <c r="AB306" s="2"/>
    </row>
    <row r="307" spans="1:28" x14ac:dyDescent="0.3">
      <c r="A307" s="2" t="str">
        <f t="shared" si="16"/>
        <v/>
      </c>
      <c r="B307" s="2"/>
      <c r="C307" s="17"/>
      <c r="D307" s="2" t="str">
        <f t="shared" si="17"/>
        <v/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 t="str">
        <f t="shared" si="18"/>
        <v/>
      </c>
      <c r="V307" s="2"/>
      <c r="W307" s="2"/>
      <c r="X307" s="2"/>
      <c r="Y307" s="17"/>
      <c r="Z307" s="17"/>
      <c r="AA307" s="2" t="str">
        <f t="shared" ca="1" si="19"/>
        <v/>
      </c>
      <c r="AB307" s="2"/>
    </row>
    <row r="308" spans="1:28" x14ac:dyDescent="0.3">
      <c r="A308" s="2" t="str">
        <f t="shared" si="16"/>
        <v/>
      </c>
      <c r="B308" s="2"/>
      <c r="C308" s="17"/>
      <c r="D308" s="2" t="str">
        <f t="shared" si="17"/>
        <v/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 t="str">
        <f t="shared" si="18"/>
        <v/>
      </c>
      <c r="V308" s="2"/>
      <c r="W308" s="2"/>
      <c r="X308" s="2"/>
      <c r="Y308" s="17"/>
      <c r="Z308" s="17"/>
      <c r="AA308" s="2" t="str">
        <f t="shared" ca="1" si="19"/>
        <v/>
      </c>
      <c r="AB308" s="2"/>
    </row>
    <row r="309" spans="1:28" x14ac:dyDescent="0.3">
      <c r="A309" s="2" t="str">
        <f t="shared" si="16"/>
        <v/>
      </c>
      <c r="B309" s="2"/>
      <c r="C309" s="17"/>
      <c r="D309" s="2" t="str">
        <f t="shared" si="17"/>
        <v/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tr">
        <f t="shared" si="18"/>
        <v/>
      </c>
      <c r="V309" s="2"/>
      <c r="W309" s="2"/>
      <c r="X309" s="2"/>
      <c r="Y309" s="17"/>
      <c r="Z309" s="17"/>
      <c r="AA309" s="2" t="str">
        <f t="shared" ca="1" si="19"/>
        <v/>
      </c>
      <c r="AB309" s="2"/>
    </row>
    <row r="310" spans="1:28" x14ac:dyDescent="0.3">
      <c r="A310" s="2" t="str">
        <f t="shared" si="16"/>
        <v/>
      </c>
      <c r="B310" s="2"/>
      <c r="C310" s="17"/>
      <c r="D310" s="2" t="str">
        <f t="shared" si="17"/>
        <v/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 t="str">
        <f t="shared" si="18"/>
        <v/>
      </c>
      <c r="V310" s="2"/>
      <c r="W310" s="2"/>
      <c r="X310" s="2"/>
      <c r="Y310" s="17"/>
      <c r="Z310" s="17"/>
      <c r="AA310" s="2" t="str">
        <f t="shared" ca="1" si="19"/>
        <v/>
      </c>
      <c r="AB310" s="2"/>
    </row>
    <row r="311" spans="1:28" x14ac:dyDescent="0.3">
      <c r="A311" s="2" t="str">
        <f t="shared" si="16"/>
        <v/>
      </c>
      <c r="B311" s="2"/>
      <c r="C311" s="17"/>
      <c r="D311" s="2" t="str">
        <f t="shared" si="17"/>
        <v/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 t="str">
        <f t="shared" si="18"/>
        <v/>
      </c>
      <c r="V311" s="2"/>
      <c r="W311" s="2"/>
      <c r="X311" s="2"/>
      <c r="Y311" s="17"/>
      <c r="Z311" s="17"/>
      <c r="AA311" s="2" t="str">
        <f t="shared" ca="1" si="19"/>
        <v/>
      </c>
      <c r="AB311" s="2"/>
    </row>
    <row r="312" spans="1:28" x14ac:dyDescent="0.3">
      <c r="A312" s="2" t="str">
        <f t="shared" si="16"/>
        <v/>
      </c>
      <c r="B312" s="2"/>
      <c r="C312" s="17"/>
      <c r="D312" s="2" t="str">
        <f t="shared" si="17"/>
        <v/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 t="str">
        <f t="shared" si="18"/>
        <v/>
      </c>
      <c r="V312" s="2"/>
      <c r="W312" s="2"/>
      <c r="X312" s="2"/>
      <c r="Y312" s="17"/>
      <c r="Z312" s="17"/>
      <c r="AA312" s="2" t="str">
        <f t="shared" ca="1" si="19"/>
        <v/>
      </c>
      <c r="AB312" s="2"/>
    </row>
    <row r="313" spans="1:28" x14ac:dyDescent="0.3">
      <c r="A313" s="2" t="str">
        <f t="shared" si="16"/>
        <v/>
      </c>
      <c r="B313" s="2"/>
      <c r="C313" s="17"/>
      <c r="D313" s="2" t="str">
        <f t="shared" si="17"/>
        <v/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 t="str">
        <f t="shared" si="18"/>
        <v/>
      </c>
      <c r="V313" s="2"/>
      <c r="W313" s="2"/>
      <c r="X313" s="2"/>
      <c r="Y313" s="17"/>
      <c r="Z313" s="17"/>
      <c r="AA313" s="2" t="str">
        <f t="shared" ca="1" si="19"/>
        <v/>
      </c>
      <c r="AB313" s="2"/>
    </row>
    <row r="314" spans="1:28" x14ac:dyDescent="0.3">
      <c r="A314" s="2" t="str">
        <f t="shared" si="16"/>
        <v/>
      </c>
      <c r="B314" s="2"/>
      <c r="C314" s="17"/>
      <c r="D314" s="2" t="str">
        <f t="shared" si="17"/>
        <v/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 t="str">
        <f t="shared" si="18"/>
        <v/>
      </c>
      <c r="V314" s="2"/>
      <c r="W314" s="2"/>
      <c r="X314" s="2"/>
      <c r="Y314" s="17"/>
      <c r="Z314" s="17"/>
      <c r="AA314" s="2" t="str">
        <f t="shared" ca="1" si="19"/>
        <v/>
      </c>
      <c r="AB314" s="2"/>
    </row>
    <row r="315" spans="1:28" x14ac:dyDescent="0.3">
      <c r="A315" s="2" t="str">
        <f t="shared" si="16"/>
        <v/>
      </c>
      <c r="B315" s="2"/>
      <c r="C315" s="17"/>
      <c r="D315" s="2" t="str">
        <f t="shared" si="17"/>
        <v/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 t="str">
        <f t="shared" si="18"/>
        <v/>
      </c>
      <c r="V315" s="2"/>
      <c r="W315" s="2"/>
      <c r="X315" s="2"/>
      <c r="Y315" s="17"/>
      <c r="Z315" s="17"/>
      <c r="AA315" s="2" t="str">
        <f t="shared" ca="1" si="19"/>
        <v/>
      </c>
      <c r="AB315" s="2"/>
    </row>
    <row r="316" spans="1:28" x14ac:dyDescent="0.3">
      <c r="A316" s="2" t="str">
        <f t="shared" si="16"/>
        <v/>
      </c>
      <c r="B316" s="2"/>
      <c r="C316" s="17"/>
      <c r="D316" s="2" t="str">
        <f t="shared" si="17"/>
        <v/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 t="str">
        <f t="shared" si="18"/>
        <v/>
      </c>
      <c r="V316" s="2"/>
      <c r="W316" s="2"/>
      <c r="X316" s="2"/>
      <c r="Y316" s="17"/>
      <c r="Z316" s="17"/>
      <c r="AA316" s="2" t="str">
        <f t="shared" ca="1" si="19"/>
        <v/>
      </c>
      <c r="AB316" s="2"/>
    </row>
    <row r="317" spans="1:28" x14ac:dyDescent="0.3">
      <c r="A317" s="2" t="str">
        <f t="shared" si="16"/>
        <v/>
      </c>
      <c r="B317" s="2"/>
      <c r="C317" s="17"/>
      <c r="D317" s="2" t="str">
        <f t="shared" si="17"/>
        <v/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 t="str">
        <f t="shared" si="18"/>
        <v/>
      </c>
      <c r="V317" s="2"/>
      <c r="W317" s="2"/>
      <c r="X317" s="2"/>
      <c r="Y317" s="17"/>
      <c r="Z317" s="17"/>
      <c r="AA317" s="2" t="str">
        <f t="shared" ca="1" si="19"/>
        <v/>
      </c>
      <c r="AB317" s="2"/>
    </row>
    <row r="318" spans="1:28" x14ac:dyDescent="0.3">
      <c r="A318" s="2" t="str">
        <f t="shared" si="16"/>
        <v/>
      </c>
      <c r="B318" s="2"/>
      <c r="C318" s="17"/>
      <c r="D318" s="2" t="str">
        <f t="shared" si="17"/>
        <v/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 t="str">
        <f t="shared" si="18"/>
        <v/>
      </c>
      <c r="V318" s="2"/>
      <c r="W318" s="2"/>
      <c r="X318" s="2"/>
      <c r="Y318" s="17"/>
      <c r="Z318" s="17"/>
      <c r="AA318" s="2" t="str">
        <f t="shared" ca="1" si="19"/>
        <v/>
      </c>
      <c r="AB318" s="2"/>
    </row>
    <row r="319" spans="1:28" x14ac:dyDescent="0.3">
      <c r="A319" s="2" t="str">
        <f t="shared" si="16"/>
        <v/>
      </c>
      <c r="B319" s="2"/>
      <c r="C319" s="17"/>
      <c r="D319" s="2" t="str">
        <f t="shared" si="17"/>
        <v/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 t="str">
        <f t="shared" si="18"/>
        <v/>
      </c>
      <c r="V319" s="2"/>
      <c r="W319" s="2"/>
      <c r="X319" s="2"/>
      <c r="Y319" s="17"/>
      <c r="Z319" s="17"/>
      <c r="AA319" s="2" t="str">
        <f t="shared" ca="1" si="19"/>
        <v/>
      </c>
      <c r="AB319" s="2"/>
    </row>
    <row r="320" spans="1:28" x14ac:dyDescent="0.3">
      <c r="A320" s="2" t="str">
        <f t="shared" si="16"/>
        <v/>
      </c>
      <c r="B320" s="2"/>
      <c r="C320" s="17"/>
      <c r="D320" s="2" t="str">
        <f t="shared" si="17"/>
        <v/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 t="str">
        <f t="shared" si="18"/>
        <v/>
      </c>
      <c r="V320" s="2"/>
      <c r="W320" s="2"/>
      <c r="X320" s="2"/>
      <c r="Y320" s="17"/>
      <c r="Z320" s="17"/>
      <c r="AA320" s="2" t="str">
        <f t="shared" ca="1" si="19"/>
        <v/>
      </c>
      <c r="AB320" s="2"/>
    </row>
    <row r="321" spans="1:28" x14ac:dyDescent="0.3">
      <c r="A321" s="2" t="str">
        <f t="shared" si="16"/>
        <v/>
      </c>
      <c r="B321" s="2"/>
      <c r="C321" s="17"/>
      <c r="D321" s="2" t="str">
        <f t="shared" si="17"/>
        <v/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 t="str">
        <f t="shared" si="18"/>
        <v/>
      </c>
      <c r="V321" s="2"/>
      <c r="W321" s="2"/>
      <c r="X321" s="2"/>
      <c r="Y321" s="17"/>
      <c r="Z321" s="17"/>
      <c r="AA321" s="2" t="str">
        <f t="shared" ca="1" si="19"/>
        <v/>
      </c>
      <c r="AB321" s="2"/>
    </row>
    <row r="322" spans="1:28" x14ac:dyDescent="0.3">
      <c r="A322" s="2" t="str">
        <f t="shared" ref="A322:A385" si="20">IF(C322="","",ROW()-1)</f>
        <v/>
      </c>
      <c r="B322" s="2"/>
      <c r="C322" s="17"/>
      <c r="D322" s="2" t="str">
        <f t="shared" ref="D322:D385" si="21">IF(C322="","",TEXT(C322,"mmm-yy"))</f>
        <v/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 t="str">
        <f t="shared" ref="U322:U385" si="22">IF(OR(N322="Y",N322="Yes"),S322,"")</f>
        <v/>
      </c>
      <c r="V322" s="2"/>
      <c r="W322" s="2"/>
      <c r="X322" s="2"/>
      <c r="Y322" s="17"/>
      <c r="Z322" s="17"/>
      <c r="AA322" s="2" t="str">
        <f t="shared" ref="AA322:AA385" ca="1" si="23">IF(C322="","",IF(Z322&lt;&gt;"","Closed",IF(Y322&lt;TODAY(),"Overdue","Open")))</f>
        <v/>
      </c>
      <c r="AB322" s="2"/>
    </row>
    <row r="323" spans="1:28" x14ac:dyDescent="0.3">
      <c r="A323" s="2" t="str">
        <f t="shared" si="20"/>
        <v/>
      </c>
      <c r="B323" s="2"/>
      <c r="C323" s="17"/>
      <c r="D323" s="2" t="str">
        <f t="shared" si="21"/>
        <v/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tr">
        <f t="shared" si="22"/>
        <v/>
      </c>
      <c r="V323" s="2"/>
      <c r="W323" s="2"/>
      <c r="X323" s="2"/>
      <c r="Y323" s="17"/>
      <c r="Z323" s="17"/>
      <c r="AA323" s="2" t="str">
        <f t="shared" ca="1" si="23"/>
        <v/>
      </c>
      <c r="AB323" s="2"/>
    </row>
    <row r="324" spans="1:28" x14ac:dyDescent="0.3">
      <c r="A324" s="2" t="str">
        <f t="shared" si="20"/>
        <v/>
      </c>
      <c r="B324" s="2"/>
      <c r="C324" s="17"/>
      <c r="D324" s="2" t="str">
        <f t="shared" si="21"/>
        <v/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 t="str">
        <f t="shared" si="22"/>
        <v/>
      </c>
      <c r="V324" s="2"/>
      <c r="W324" s="2"/>
      <c r="X324" s="2"/>
      <c r="Y324" s="17"/>
      <c r="Z324" s="17"/>
      <c r="AA324" s="2" t="str">
        <f t="shared" ca="1" si="23"/>
        <v/>
      </c>
      <c r="AB324" s="2"/>
    </row>
    <row r="325" spans="1:28" x14ac:dyDescent="0.3">
      <c r="A325" s="2" t="str">
        <f t="shared" si="20"/>
        <v/>
      </c>
      <c r="B325" s="2"/>
      <c r="C325" s="17"/>
      <c r="D325" s="2" t="str">
        <f t="shared" si="21"/>
        <v/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 t="str">
        <f t="shared" si="22"/>
        <v/>
      </c>
      <c r="V325" s="2"/>
      <c r="W325" s="2"/>
      <c r="X325" s="2"/>
      <c r="Y325" s="17"/>
      <c r="Z325" s="17"/>
      <c r="AA325" s="2" t="str">
        <f t="shared" ca="1" si="23"/>
        <v/>
      </c>
      <c r="AB325" s="2"/>
    </row>
    <row r="326" spans="1:28" x14ac:dyDescent="0.3">
      <c r="A326" s="2" t="str">
        <f t="shared" si="20"/>
        <v/>
      </c>
      <c r="B326" s="2"/>
      <c r="C326" s="17"/>
      <c r="D326" s="2" t="str">
        <f t="shared" si="21"/>
        <v/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 t="str">
        <f t="shared" si="22"/>
        <v/>
      </c>
      <c r="V326" s="2"/>
      <c r="W326" s="2"/>
      <c r="X326" s="2"/>
      <c r="Y326" s="17"/>
      <c r="Z326" s="17"/>
      <c r="AA326" s="2" t="str">
        <f t="shared" ca="1" si="23"/>
        <v/>
      </c>
      <c r="AB326" s="2"/>
    </row>
    <row r="327" spans="1:28" x14ac:dyDescent="0.3">
      <c r="A327" s="2" t="str">
        <f t="shared" si="20"/>
        <v/>
      </c>
      <c r="B327" s="2"/>
      <c r="C327" s="17"/>
      <c r="D327" s="2" t="str">
        <f t="shared" si="21"/>
        <v/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 t="str">
        <f t="shared" si="22"/>
        <v/>
      </c>
      <c r="V327" s="2"/>
      <c r="W327" s="2"/>
      <c r="X327" s="2"/>
      <c r="Y327" s="17"/>
      <c r="Z327" s="17"/>
      <c r="AA327" s="2" t="str">
        <f t="shared" ca="1" si="23"/>
        <v/>
      </c>
      <c r="AB327" s="2"/>
    </row>
    <row r="328" spans="1:28" x14ac:dyDescent="0.3">
      <c r="A328" s="2" t="str">
        <f t="shared" si="20"/>
        <v/>
      </c>
      <c r="B328" s="2"/>
      <c r="C328" s="17"/>
      <c r="D328" s="2" t="str">
        <f t="shared" si="21"/>
        <v/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 t="str">
        <f t="shared" si="22"/>
        <v/>
      </c>
      <c r="V328" s="2"/>
      <c r="W328" s="2"/>
      <c r="X328" s="2"/>
      <c r="Y328" s="17"/>
      <c r="Z328" s="17"/>
      <c r="AA328" s="2" t="str">
        <f t="shared" ca="1" si="23"/>
        <v/>
      </c>
      <c r="AB328" s="2"/>
    </row>
    <row r="329" spans="1:28" x14ac:dyDescent="0.3">
      <c r="A329" s="2" t="str">
        <f t="shared" si="20"/>
        <v/>
      </c>
      <c r="B329" s="2"/>
      <c r="C329" s="17"/>
      <c r="D329" s="2" t="str">
        <f t="shared" si="21"/>
        <v/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tr">
        <f t="shared" si="22"/>
        <v/>
      </c>
      <c r="V329" s="2"/>
      <c r="W329" s="2"/>
      <c r="X329" s="2"/>
      <c r="Y329" s="17"/>
      <c r="Z329" s="17"/>
      <c r="AA329" s="2" t="str">
        <f t="shared" ca="1" si="23"/>
        <v/>
      </c>
      <c r="AB329" s="2"/>
    </row>
    <row r="330" spans="1:28" x14ac:dyDescent="0.3">
      <c r="A330" s="2" t="str">
        <f t="shared" si="20"/>
        <v/>
      </c>
      <c r="B330" s="2"/>
      <c r="C330" s="17"/>
      <c r="D330" s="2" t="str">
        <f t="shared" si="21"/>
        <v/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 t="str">
        <f t="shared" si="22"/>
        <v/>
      </c>
      <c r="V330" s="2"/>
      <c r="W330" s="2"/>
      <c r="X330" s="2"/>
      <c r="Y330" s="17"/>
      <c r="Z330" s="17"/>
      <c r="AA330" s="2" t="str">
        <f t="shared" ca="1" si="23"/>
        <v/>
      </c>
      <c r="AB330" s="2"/>
    </row>
    <row r="331" spans="1:28" x14ac:dyDescent="0.3">
      <c r="A331" s="2" t="str">
        <f t="shared" si="20"/>
        <v/>
      </c>
      <c r="B331" s="2"/>
      <c r="C331" s="17"/>
      <c r="D331" s="2" t="str">
        <f t="shared" si="21"/>
        <v/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 t="str">
        <f t="shared" si="22"/>
        <v/>
      </c>
      <c r="V331" s="2"/>
      <c r="W331" s="2"/>
      <c r="X331" s="2"/>
      <c r="Y331" s="17"/>
      <c r="Z331" s="17"/>
      <c r="AA331" s="2" t="str">
        <f t="shared" ca="1" si="23"/>
        <v/>
      </c>
      <c r="AB331" s="2"/>
    </row>
    <row r="332" spans="1:28" x14ac:dyDescent="0.3">
      <c r="A332" s="2" t="str">
        <f t="shared" si="20"/>
        <v/>
      </c>
      <c r="B332" s="2"/>
      <c r="C332" s="17"/>
      <c r="D332" s="2" t="str">
        <f t="shared" si="21"/>
        <v/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 t="str">
        <f t="shared" si="22"/>
        <v/>
      </c>
      <c r="V332" s="2"/>
      <c r="W332" s="2"/>
      <c r="X332" s="2"/>
      <c r="Y332" s="17"/>
      <c r="Z332" s="17"/>
      <c r="AA332" s="2" t="str">
        <f t="shared" ca="1" si="23"/>
        <v/>
      </c>
      <c r="AB332" s="2"/>
    </row>
    <row r="333" spans="1:28" x14ac:dyDescent="0.3">
      <c r="A333" s="2" t="str">
        <f t="shared" si="20"/>
        <v/>
      </c>
      <c r="B333" s="2"/>
      <c r="C333" s="17"/>
      <c r="D333" s="2" t="str">
        <f t="shared" si="21"/>
        <v/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 t="str">
        <f t="shared" si="22"/>
        <v/>
      </c>
      <c r="V333" s="2"/>
      <c r="W333" s="2"/>
      <c r="X333" s="2"/>
      <c r="Y333" s="17"/>
      <c r="Z333" s="17"/>
      <c r="AA333" s="2" t="str">
        <f t="shared" ca="1" si="23"/>
        <v/>
      </c>
      <c r="AB333" s="2"/>
    </row>
    <row r="334" spans="1:28" x14ac:dyDescent="0.3">
      <c r="A334" s="2" t="str">
        <f t="shared" si="20"/>
        <v/>
      </c>
      <c r="B334" s="2"/>
      <c r="C334" s="17"/>
      <c r="D334" s="2" t="str">
        <f t="shared" si="21"/>
        <v/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 t="str">
        <f t="shared" si="22"/>
        <v/>
      </c>
      <c r="V334" s="2"/>
      <c r="W334" s="2"/>
      <c r="X334" s="2"/>
      <c r="Y334" s="17"/>
      <c r="Z334" s="17"/>
      <c r="AA334" s="2" t="str">
        <f t="shared" ca="1" si="23"/>
        <v/>
      </c>
      <c r="AB334" s="2"/>
    </row>
    <row r="335" spans="1:28" x14ac:dyDescent="0.3">
      <c r="A335" s="2" t="str">
        <f t="shared" si="20"/>
        <v/>
      </c>
      <c r="B335" s="2"/>
      <c r="C335" s="17"/>
      <c r="D335" s="2" t="str">
        <f t="shared" si="21"/>
        <v/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 t="str">
        <f t="shared" si="22"/>
        <v/>
      </c>
      <c r="V335" s="2"/>
      <c r="W335" s="2"/>
      <c r="X335" s="2"/>
      <c r="Y335" s="17"/>
      <c r="Z335" s="17"/>
      <c r="AA335" s="2" t="str">
        <f t="shared" ca="1" si="23"/>
        <v/>
      </c>
      <c r="AB335" s="2"/>
    </row>
    <row r="336" spans="1:28" x14ac:dyDescent="0.3">
      <c r="A336" s="2" t="str">
        <f t="shared" si="20"/>
        <v/>
      </c>
      <c r="B336" s="2"/>
      <c r="C336" s="17"/>
      <c r="D336" s="2" t="str">
        <f t="shared" si="21"/>
        <v/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 t="str">
        <f t="shared" si="22"/>
        <v/>
      </c>
      <c r="V336" s="2"/>
      <c r="W336" s="2"/>
      <c r="X336" s="2"/>
      <c r="Y336" s="17"/>
      <c r="Z336" s="17"/>
      <c r="AA336" s="2" t="str">
        <f t="shared" ca="1" si="23"/>
        <v/>
      </c>
      <c r="AB336" s="2"/>
    </row>
    <row r="337" spans="1:28" x14ac:dyDescent="0.3">
      <c r="A337" s="2" t="str">
        <f t="shared" si="20"/>
        <v/>
      </c>
      <c r="B337" s="2"/>
      <c r="C337" s="17"/>
      <c r="D337" s="2" t="str">
        <f t="shared" si="21"/>
        <v/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 t="str">
        <f t="shared" si="22"/>
        <v/>
      </c>
      <c r="V337" s="2"/>
      <c r="W337" s="2"/>
      <c r="X337" s="2"/>
      <c r="Y337" s="17"/>
      <c r="Z337" s="17"/>
      <c r="AA337" s="2" t="str">
        <f t="shared" ca="1" si="23"/>
        <v/>
      </c>
      <c r="AB337" s="2"/>
    </row>
    <row r="338" spans="1:28" x14ac:dyDescent="0.3">
      <c r="A338" s="2" t="str">
        <f t="shared" si="20"/>
        <v/>
      </c>
      <c r="B338" s="2"/>
      <c r="C338" s="17"/>
      <c r="D338" s="2" t="str">
        <f t="shared" si="21"/>
        <v/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tr">
        <f t="shared" si="22"/>
        <v/>
      </c>
      <c r="V338" s="2"/>
      <c r="W338" s="2"/>
      <c r="X338" s="2"/>
      <c r="Y338" s="17"/>
      <c r="Z338" s="17"/>
      <c r="AA338" s="2" t="str">
        <f t="shared" ca="1" si="23"/>
        <v/>
      </c>
      <c r="AB338" s="2"/>
    </row>
    <row r="339" spans="1:28" x14ac:dyDescent="0.3">
      <c r="A339" s="2" t="str">
        <f t="shared" si="20"/>
        <v/>
      </c>
      <c r="B339" s="2"/>
      <c r="C339" s="17"/>
      <c r="D339" s="2" t="str">
        <f t="shared" si="21"/>
        <v/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 t="str">
        <f t="shared" si="22"/>
        <v/>
      </c>
      <c r="V339" s="2"/>
      <c r="W339" s="2"/>
      <c r="X339" s="2"/>
      <c r="Y339" s="17"/>
      <c r="Z339" s="17"/>
      <c r="AA339" s="2" t="str">
        <f t="shared" ca="1" si="23"/>
        <v/>
      </c>
      <c r="AB339" s="2"/>
    </row>
    <row r="340" spans="1:28" x14ac:dyDescent="0.3">
      <c r="A340" s="2" t="str">
        <f t="shared" si="20"/>
        <v/>
      </c>
      <c r="B340" s="2"/>
      <c r="C340" s="17"/>
      <c r="D340" s="2" t="str">
        <f t="shared" si="21"/>
        <v/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 t="str">
        <f t="shared" si="22"/>
        <v/>
      </c>
      <c r="V340" s="2"/>
      <c r="W340" s="2"/>
      <c r="X340" s="2"/>
      <c r="Y340" s="17"/>
      <c r="Z340" s="17"/>
      <c r="AA340" s="2" t="str">
        <f t="shared" ca="1" si="23"/>
        <v/>
      </c>
      <c r="AB340" s="2"/>
    </row>
    <row r="341" spans="1:28" x14ac:dyDescent="0.3">
      <c r="A341" s="2" t="str">
        <f t="shared" si="20"/>
        <v/>
      </c>
      <c r="B341" s="2"/>
      <c r="C341" s="17"/>
      <c r="D341" s="2" t="str">
        <f t="shared" si="21"/>
        <v/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 t="str">
        <f t="shared" si="22"/>
        <v/>
      </c>
      <c r="V341" s="2"/>
      <c r="W341" s="2"/>
      <c r="X341" s="2"/>
      <c r="Y341" s="17"/>
      <c r="Z341" s="17"/>
      <c r="AA341" s="2" t="str">
        <f t="shared" ca="1" si="23"/>
        <v/>
      </c>
      <c r="AB341" s="2"/>
    </row>
    <row r="342" spans="1:28" x14ac:dyDescent="0.3">
      <c r="A342" s="2" t="str">
        <f t="shared" si="20"/>
        <v/>
      </c>
      <c r="B342" s="2"/>
      <c r="C342" s="17"/>
      <c r="D342" s="2" t="str">
        <f t="shared" si="21"/>
        <v/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 t="str">
        <f t="shared" si="22"/>
        <v/>
      </c>
      <c r="V342" s="2"/>
      <c r="W342" s="2"/>
      <c r="X342" s="2"/>
      <c r="Y342" s="17"/>
      <c r="Z342" s="17"/>
      <c r="AA342" s="2" t="str">
        <f t="shared" ca="1" si="23"/>
        <v/>
      </c>
      <c r="AB342" s="2"/>
    </row>
    <row r="343" spans="1:28" x14ac:dyDescent="0.3">
      <c r="A343" s="2" t="str">
        <f t="shared" si="20"/>
        <v/>
      </c>
      <c r="B343" s="2"/>
      <c r="C343" s="17"/>
      <c r="D343" s="2" t="str">
        <f t="shared" si="21"/>
        <v/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 t="str">
        <f t="shared" si="22"/>
        <v/>
      </c>
      <c r="V343" s="2"/>
      <c r="W343" s="2"/>
      <c r="X343" s="2"/>
      <c r="Y343" s="17"/>
      <c r="Z343" s="17"/>
      <c r="AA343" s="2" t="str">
        <f t="shared" ca="1" si="23"/>
        <v/>
      </c>
      <c r="AB343" s="2"/>
    </row>
    <row r="344" spans="1:28" x14ac:dyDescent="0.3">
      <c r="A344" s="2" t="str">
        <f t="shared" si="20"/>
        <v/>
      </c>
      <c r="B344" s="2"/>
      <c r="C344" s="17"/>
      <c r="D344" s="2" t="str">
        <f t="shared" si="21"/>
        <v/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 t="str">
        <f t="shared" si="22"/>
        <v/>
      </c>
      <c r="V344" s="2"/>
      <c r="W344" s="2"/>
      <c r="X344" s="2"/>
      <c r="Y344" s="17"/>
      <c r="Z344" s="17"/>
      <c r="AA344" s="2" t="str">
        <f t="shared" ca="1" si="23"/>
        <v/>
      </c>
      <c r="AB344" s="2"/>
    </row>
    <row r="345" spans="1:28" x14ac:dyDescent="0.3">
      <c r="A345" s="2" t="str">
        <f t="shared" si="20"/>
        <v/>
      </c>
      <c r="B345" s="2"/>
      <c r="C345" s="17"/>
      <c r="D345" s="2" t="str">
        <f t="shared" si="21"/>
        <v/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 t="str">
        <f t="shared" si="22"/>
        <v/>
      </c>
      <c r="V345" s="2"/>
      <c r="W345" s="2"/>
      <c r="X345" s="2"/>
      <c r="Y345" s="17"/>
      <c r="Z345" s="17"/>
      <c r="AA345" s="2" t="str">
        <f t="shared" ca="1" si="23"/>
        <v/>
      </c>
      <c r="AB345" s="2"/>
    </row>
    <row r="346" spans="1:28" x14ac:dyDescent="0.3">
      <c r="A346" s="2" t="str">
        <f t="shared" si="20"/>
        <v/>
      </c>
      <c r="B346" s="2"/>
      <c r="C346" s="17"/>
      <c r="D346" s="2" t="str">
        <f t="shared" si="21"/>
        <v/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 t="str">
        <f t="shared" si="22"/>
        <v/>
      </c>
      <c r="V346" s="2"/>
      <c r="W346" s="2"/>
      <c r="X346" s="2"/>
      <c r="Y346" s="17"/>
      <c r="Z346" s="17"/>
      <c r="AA346" s="2" t="str">
        <f t="shared" ca="1" si="23"/>
        <v/>
      </c>
      <c r="AB346" s="2"/>
    </row>
    <row r="347" spans="1:28" x14ac:dyDescent="0.3">
      <c r="A347" s="2" t="str">
        <f t="shared" si="20"/>
        <v/>
      </c>
      <c r="B347" s="2"/>
      <c r="C347" s="17"/>
      <c r="D347" s="2" t="str">
        <f t="shared" si="21"/>
        <v/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 t="str">
        <f t="shared" si="22"/>
        <v/>
      </c>
      <c r="V347" s="2"/>
      <c r="W347" s="2"/>
      <c r="X347" s="2"/>
      <c r="Y347" s="17"/>
      <c r="Z347" s="17"/>
      <c r="AA347" s="2" t="str">
        <f t="shared" ca="1" si="23"/>
        <v/>
      </c>
      <c r="AB347" s="2"/>
    </row>
    <row r="348" spans="1:28" x14ac:dyDescent="0.3">
      <c r="A348" s="2" t="str">
        <f t="shared" si="20"/>
        <v/>
      </c>
      <c r="B348" s="2"/>
      <c r="C348" s="17"/>
      <c r="D348" s="2" t="str">
        <f t="shared" si="21"/>
        <v/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 t="str">
        <f t="shared" si="22"/>
        <v/>
      </c>
      <c r="V348" s="2"/>
      <c r="W348" s="2"/>
      <c r="X348" s="2"/>
      <c r="Y348" s="17"/>
      <c r="Z348" s="17"/>
      <c r="AA348" s="2" t="str">
        <f t="shared" ca="1" si="23"/>
        <v/>
      </c>
      <c r="AB348" s="2"/>
    </row>
    <row r="349" spans="1:28" x14ac:dyDescent="0.3">
      <c r="A349" s="2" t="str">
        <f t="shared" si="20"/>
        <v/>
      </c>
      <c r="B349" s="2"/>
      <c r="C349" s="17"/>
      <c r="D349" s="2" t="str">
        <f t="shared" si="21"/>
        <v/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 t="str">
        <f t="shared" si="22"/>
        <v/>
      </c>
      <c r="V349" s="2"/>
      <c r="W349" s="2"/>
      <c r="X349" s="2"/>
      <c r="Y349" s="17"/>
      <c r="Z349" s="17"/>
      <c r="AA349" s="2" t="str">
        <f t="shared" ca="1" si="23"/>
        <v/>
      </c>
      <c r="AB349" s="2"/>
    </row>
    <row r="350" spans="1:28" x14ac:dyDescent="0.3">
      <c r="A350" s="2" t="str">
        <f t="shared" si="20"/>
        <v/>
      </c>
      <c r="B350" s="2"/>
      <c r="C350" s="17"/>
      <c r="D350" s="2" t="str">
        <f t="shared" si="21"/>
        <v/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 t="str">
        <f t="shared" si="22"/>
        <v/>
      </c>
      <c r="V350" s="2"/>
      <c r="W350" s="2"/>
      <c r="X350" s="2"/>
      <c r="Y350" s="17"/>
      <c r="Z350" s="17"/>
      <c r="AA350" s="2" t="str">
        <f t="shared" ca="1" si="23"/>
        <v/>
      </c>
      <c r="AB350" s="2"/>
    </row>
    <row r="351" spans="1:28" x14ac:dyDescent="0.3">
      <c r="A351" s="2" t="str">
        <f t="shared" si="20"/>
        <v/>
      </c>
      <c r="B351" s="2"/>
      <c r="C351" s="17"/>
      <c r="D351" s="2" t="str">
        <f t="shared" si="21"/>
        <v/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 t="str">
        <f t="shared" si="22"/>
        <v/>
      </c>
      <c r="V351" s="2"/>
      <c r="W351" s="2"/>
      <c r="X351" s="2"/>
      <c r="Y351" s="17"/>
      <c r="Z351" s="17"/>
      <c r="AA351" s="2" t="str">
        <f t="shared" ca="1" si="23"/>
        <v/>
      </c>
      <c r="AB351" s="2"/>
    </row>
    <row r="352" spans="1:28" x14ac:dyDescent="0.3">
      <c r="A352" s="2" t="str">
        <f t="shared" si="20"/>
        <v/>
      </c>
      <c r="B352" s="2"/>
      <c r="C352" s="17"/>
      <c r="D352" s="2" t="str">
        <f t="shared" si="21"/>
        <v/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 t="str">
        <f t="shared" si="22"/>
        <v/>
      </c>
      <c r="V352" s="2"/>
      <c r="W352" s="2"/>
      <c r="X352" s="2"/>
      <c r="Y352" s="17"/>
      <c r="Z352" s="17"/>
      <c r="AA352" s="2" t="str">
        <f t="shared" ca="1" si="23"/>
        <v/>
      </c>
      <c r="AB352" s="2"/>
    </row>
    <row r="353" spans="1:28" x14ac:dyDescent="0.3">
      <c r="A353" s="2" t="str">
        <f t="shared" si="20"/>
        <v/>
      </c>
      <c r="B353" s="2"/>
      <c r="C353" s="17"/>
      <c r="D353" s="2" t="str">
        <f t="shared" si="21"/>
        <v/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 t="str">
        <f t="shared" si="22"/>
        <v/>
      </c>
      <c r="V353" s="2"/>
      <c r="W353" s="2"/>
      <c r="X353" s="2"/>
      <c r="Y353" s="17"/>
      <c r="Z353" s="17"/>
      <c r="AA353" s="2" t="str">
        <f t="shared" ca="1" si="23"/>
        <v/>
      </c>
      <c r="AB353" s="2"/>
    </row>
    <row r="354" spans="1:28" x14ac:dyDescent="0.3">
      <c r="A354" s="2" t="str">
        <f t="shared" si="20"/>
        <v/>
      </c>
      <c r="B354" s="2"/>
      <c r="C354" s="17"/>
      <c r="D354" s="2" t="str">
        <f t="shared" si="21"/>
        <v/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 t="str">
        <f t="shared" si="22"/>
        <v/>
      </c>
      <c r="V354" s="2"/>
      <c r="W354" s="2"/>
      <c r="X354" s="2"/>
      <c r="Y354" s="17"/>
      <c r="Z354" s="17"/>
      <c r="AA354" s="2" t="str">
        <f t="shared" ca="1" si="23"/>
        <v/>
      </c>
      <c r="AB354" s="2"/>
    </row>
    <row r="355" spans="1:28" x14ac:dyDescent="0.3">
      <c r="A355" s="2" t="str">
        <f t="shared" si="20"/>
        <v/>
      </c>
      <c r="B355" s="2"/>
      <c r="C355" s="17"/>
      <c r="D355" s="2" t="str">
        <f t="shared" si="21"/>
        <v/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tr">
        <f t="shared" si="22"/>
        <v/>
      </c>
      <c r="V355" s="2"/>
      <c r="W355" s="2"/>
      <c r="X355" s="2"/>
      <c r="Y355" s="17"/>
      <c r="Z355" s="17"/>
      <c r="AA355" s="2" t="str">
        <f t="shared" ca="1" si="23"/>
        <v/>
      </c>
      <c r="AB355" s="2"/>
    </row>
    <row r="356" spans="1:28" x14ac:dyDescent="0.3">
      <c r="A356" s="2" t="str">
        <f t="shared" si="20"/>
        <v/>
      </c>
      <c r="B356" s="2"/>
      <c r="C356" s="17"/>
      <c r="D356" s="2" t="str">
        <f t="shared" si="21"/>
        <v/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tr">
        <f t="shared" si="22"/>
        <v/>
      </c>
      <c r="V356" s="2"/>
      <c r="W356" s="2"/>
      <c r="X356" s="2"/>
      <c r="Y356" s="17"/>
      <c r="Z356" s="17"/>
      <c r="AA356" s="2" t="str">
        <f t="shared" ca="1" si="23"/>
        <v/>
      </c>
      <c r="AB356" s="2"/>
    </row>
    <row r="357" spans="1:28" x14ac:dyDescent="0.3">
      <c r="A357" s="2" t="str">
        <f t="shared" si="20"/>
        <v/>
      </c>
      <c r="B357" s="2"/>
      <c r="C357" s="17"/>
      <c r="D357" s="2" t="str">
        <f t="shared" si="21"/>
        <v/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 t="str">
        <f t="shared" si="22"/>
        <v/>
      </c>
      <c r="V357" s="2"/>
      <c r="W357" s="2"/>
      <c r="X357" s="2"/>
      <c r="Y357" s="17"/>
      <c r="Z357" s="17"/>
      <c r="AA357" s="2" t="str">
        <f t="shared" ca="1" si="23"/>
        <v/>
      </c>
      <c r="AB357" s="2"/>
    </row>
    <row r="358" spans="1:28" x14ac:dyDescent="0.3">
      <c r="A358" s="2" t="str">
        <f t="shared" si="20"/>
        <v/>
      </c>
      <c r="B358" s="2"/>
      <c r="C358" s="17"/>
      <c r="D358" s="2" t="str">
        <f t="shared" si="21"/>
        <v/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tr">
        <f t="shared" si="22"/>
        <v/>
      </c>
      <c r="V358" s="2"/>
      <c r="W358" s="2"/>
      <c r="X358" s="2"/>
      <c r="Y358" s="17"/>
      <c r="Z358" s="17"/>
      <c r="AA358" s="2" t="str">
        <f t="shared" ca="1" si="23"/>
        <v/>
      </c>
      <c r="AB358" s="2"/>
    </row>
    <row r="359" spans="1:28" x14ac:dyDescent="0.3">
      <c r="A359" s="2" t="str">
        <f t="shared" si="20"/>
        <v/>
      </c>
      <c r="B359" s="2"/>
      <c r="C359" s="17"/>
      <c r="D359" s="2" t="str">
        <f t="shared" si="21"/>
        <v/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 t="str">
        <f t="shared" si="22"/>
        <v/>
      </c>
      <c r="V359" s="2"/>
      <c r="W359" s="2"/>
      <c r="X359" s="2"/>
      <c r="Y359" s="17"/>
      <c r="Z359" s="17"/>
      <c r="AA359" s="2" t="str">
        <f t="shared" ca="1" si="23"/>
        <v/>
      </c>
      <c r="AB359" s="2"/>
    </row>
    <row r="360" spans="1:28" x14ac:dyDescent="0.3">
      <c r="A360" s="2" t="str">
        <f t="shared" si="20"/>
        <v/>
      </c>
      <c r="B360" s="2"/>
      <c r="C360" s="17"/>
      <c r="D360" s="2" t="str">
        <f t="shared" si="21"/>
        <v/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 t="str">
        <f t="shared" si="22"/>
        <v/>
      </c>
      <c r="V360" s="2"/>
      <c r="W360" s="2"/>
      <c r="X360" s="2"/>
      <c r="Y360" s="17"/>
      <c r="Z360" s="17"/>
      <c r="AA360" s="2" t="str">
        <f t="shared" ca="1" si="23"/>
        <v/>
      </c>
      <c r="AB360" s="2"/>
    </row>
    <row r="361" spans="1:28" x14ac:dyDescent="0.3">
      <c r="A361" s="2" t="str">
        <f t="shared" si="20"/>
        <v/>
      </c>
      <c r="B361" s="2"/>
      <c r="C361" s="17"/>
      <c r="D361" s="2" t="str">
        <f t="shared" si="21"/>
        <v/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 t="str">
        <f t="shared" si="22"/>
        <v/>
      </c>
      <c r="V361" s="2"/>
      <c r="W361" s="2"/>
      <c r="X361" s="2"/>
      <c r="Y361" s="17"/>
      <c r="Z361" s="17"/>
      <c r="AA361" s="2" t="str">
        <f t="shared" ca="1" si="23"/>
        <v/>
      </c>
      <c r="AB361" s="2"/>
    </row>
    <row r="362" spans="1:28" x14ac:dyDescent="0.3">
      <c r="A362" s="2" t="str">
        <f t="shared" si="20"/>
        <v/>
      </c>
      <c r="B362" s="2"/>
      <c r="C362" s="17"/>
      <c r="D362" s="2" t="str">
        <f t="shared" si="21"/>
        <v/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tr">
        <f t="shared" si="22"/>
        <v/>
      </c>
      <c r="V362" s="2"/>
      <c r="W362" s="2"/>
      <c r="X362" s="2"/>
      <c r="Y362" s="17"/>
      <c r="Z362" s="17"/>
      <c r="AA362" s="2" t="str">
        <f t="shared" ca="1" si="23"/>
        <v/>
      </c>
      <c r="AB362" s="2"/>
    </row>
    <row r="363" spans="1:28" x14ac:dyDescent="0.3">
      <c r="A363" s="2" t="str">
        <f t="shared" si="20"/>
        <v/>
      </c>
      <c r="B363" s="2"/>
      <c r="C363" s="17"/>
      <c r="D363" s="2" t="str">
        <f t="shared" si="21"/>
        <v/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 t="str">
        <f t="shared" si="22"/>
        <v/>
      </c>
      <c r="V363" s="2"/>
      <c r="W363" s="2"/>
      <c r="X363" s="2"/>
      <c r="Y363" s="17"/>
      <c r="Z363" s="17"/>
      <c r="AA363" s="2" t="str">
        <f t="shared" ca="1" si="23"/>
        <v/>
      </c>
      <c r="AB363" s="2"/>
    </row>
    <row r="364" spans="1:28" x14ac:dyDescent="0.3">
      <c r="A364" s="2" t="str">
        <f t="shared" si="20"/>
        <v/>
      </c>
      <c r="B364" s="2"/>
      <c r="C364" s="17"/>
      <c r="D364" s="2" t="str">
        <f t="shared" si="21"/>
        <v/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 t="str">
        <f t="shared" si="22"/>
        <v/>
      </c>
      <c r="V364" s="2"/>
      <c r="W364" s="2"/>
      <c r="X364" s="2"/>
      <c r="Y364" s="17"/>
      <c r="Z364" s="17"/>
      <c r="AA364" s="2" t="str">
        <f t="shared" ca="1" si="23"/>
        <v/>
      </c>
      <c r="AB364" s="2"/>
    </row>
    <row r="365" spans="1:28" x14ac:dyDescent="0.3">
      <c r="A365" s="2" t="str">
        <f t="shared" si="20"/>
        <v/>
      </c>
      <c r="B365" s="2"/>
      <c r="C365" s="17"/>
      <c r="D365" s="2" t="str">
        <f t="shared" si="21"/>
        <v/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 t="str">
        <f t="shared" si="22"/>
        <v/>
      </c>
      <c r="V365" s="2"/>
      <c r="W365" s="2"/>
      <c r="X365" s="2"/>
      <c r="Y365" s="17"/>
      <c r="Z365" s="17"/>
      <c r="AA365" s="2" t="str">
        <f t="shared" ca="1" si="23"/>
        <v/>
      </c>
      <c r="AB365" s="2"/>
    </row>
    <row r="366" spans="1:28" x14ac:dyDescent="0.3">
      <c r="A366" s="2" t="str">
        <f t="shared" si="20"/>
        <v/>
      </c>
      <c r="B366" s="2"/>
      <c r="C366" s="17"/>
      <c r="D366" s="2" t="str">
        <f t="shared" si="21"/>
        <v/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tr">
        <f t="shared" si="22"/>
        <v/>
      </c>
      <c r="V366" s="2"/>
      <c r="W366" s="2"/>
      <c r="X366" s="2"/>
      <c r="Y366" s="17"/>
      <c r="Z366" s="17"/>
      <c r="AA366" s="2" t="str">
        <f t="shared" ca="1" si="23"/>
        <v/>
      </c>
      <c r="AB366" s="2"/>
    </row>
    <row r="367" spans="1:28" x14ac:dyDescent="0.3">
      <c r="A367" s="2" t="str">
        <f t="shared" si="20"/>
        <v/>
      </c>
      <c r="B367" s="2"/>
      <c r="C367" s="17"/>
      <c r="D367" s="2" t="str">
        <f t="shared" si="21"/>
        <v/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 t="str">
        <f t="shared" si="22"/>
        <v/>
      </c>
      <c r="V367" s="2"/>
      <c r="W367" s="2"/>
      <c r="X367" s="2"/>
      <c r="Y367" s="17"/>
      <c r="Z367" s="17"/>
      <c r="AA367" s="2" t="str">
        <f t="shared" ca="1" si="23"/>
        <v/>
      </c>
      <c r="AB367" s="2"/>
    </row>
    <row r="368" spans="1:28" x14ac:dyDescent="0.3">
      <c r="A368" s="2" t="str">
        <f t="shared" si="20"/>
        <v/>
      </c>
      <c r="B368" s="2"/>
      <c r="C368" s="17"/>
      <c r="D368" s="2" t="str">
        <f t="shared" si="21"/>
        <v/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 t="str">
        <f t="shared" si="22"/>
        <v/>
      </c>
      <c r="V368" s="2"/>
      <c r="W368" s="2"/>
      <c r="X368" s="2"/>
      <c r="Y368" s="17"/>
      <c r="Z368" s="17"/>
      <c r="AA368" s="2" t="str">
        <f t="shared" ca="1" si="23"/>
        <v/>
      </c>
      <c r="AB368" s="2"/>
    </row>
    <row r="369" spans="1:28" x14ac:dyDescent="0.3">
      <c r="A369" s="2" t="str">
        <f t="shared" si="20"/>
        <v/>
      </c>
      <c r="B369" s="2"/>
      <c r="C369" s="17"/>
      <c r="D369" s="2" t="str">
        <f t="shared" si="21"/>
        <v/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 t="str">
        <f t="shared" si="22"/>
        <v/>
      </c>
      <c r="V369" s="2"/>
      <c r="W369" s="2"/>
      <c r="X369" s="2"/>
      <c r="Y369" s="17"/>
      <c r="Z369" s="17"/>
      <c r="AA369" s="2" t="str">
        <f t="shared" ca="1" si="23"/>
        <v/>
      </c>
      <c r="AB369" s="2"/>
    </row>
    <row r="370" spans="1:28" x14ac:dyDescent="0.3">
      <c r="A370" s="2" t="str">
        <f t="shared" si="20"/>
        <v/>
      </c>
      <c r="B370" s="2"/>
      <c r="C370" s="17"/>
      <c r="D370" s="2" t="str">
        <f t="shared" si="21"/>
        <v/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 t="str">
        <f t="shared" si="22"/>
        <v/>
      </c>
      <c r="V370" s="2"/>
      <c r="W370" s="2"/>
      <c r="X370" s="2"/>
      <c r="Y370" s="17"/>
      <c r="Z370" s="17"/>
      <c r="AA370" s="2" t="str">
        <f t="shared" ca="1" si="23"/>
        <v/>
      </c>
      <c r="AB370" s="2"/>
    </row>
    <row r="371" spans="1:28" x14ac:dyDescent="0.3">
      <c r="A371" s="2" t="str">
        <f t="shared" si="20"/>
        <v/>
      </c>
      <c r="B371" s="2"/>
      <c r="C371" s="17"/>
      <c r="D371" s="2" t="str">
        <f t="shared" si="21"/>
        <v/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tr">
        <f t="shared" si="22"/>
        <v/>
      </c>
      <c r="V371" s="2"/>
      <c r="W371" s="2"/>
      <c r="X371" s="2"/>
      <c r="Y371" s="17"/>
      <c r="Z371" s="17"/>
      <c r="AA371" s="2" t="str">
        <f t="shared" ca="1" si="23"/>
        <v/>
      </c>
      <c r="AB371" s="2"/>
    </row>
    <row r="372" spans="1:28" x14ac:dyDescent="0.3">
      <c r="A372" s="2" t="str">
        <f t="shared" si="20"/>
        <v/>
      </c>
      <c r="B372" s="2"/>
      <c r="C372" s="17"/>
      <c r="D372" s="2" t="str">
        <f t="shared" si="21"/>
        <v/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 t="str">
        <f t="shared" si="22"/>
        <v/>
      </c>
      <c r="V372" s="2"/>
      <c r="W372" s="2"/>
      <c r="X372" s="2"/>
      <c r="Y372" s="17"/>
      <c r="Z372" s="17"/>
      <c r="AA372" s="2" t="str">
        <f t="shared" ca="1" si="23"/>
        <v/>
      </c>
      <c r="AB372" s="2"/>
    </row>
    <row r="373" spans="1:28" x14ac:dyDescent="0.3">
      <c r="A373" s="2" t="str">
        <f t="shared" si="20"/>
        <v/>
      </c>
      <c r="B373" s="2"/>
      <c r="C373" s="17"/>
      <c r="D373" s="2" t="str">
        <f t="shared" si="21"/>
        <v/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 t="str">
        <f t="shared" si="22"/>
        <v/>
      </c>
      <c r="V373" s="2"/>
      <c r="W373" s="2"/>
      <c r="X373" s="2"/>
      <c r="Y373" s="17"/>
      <c r="Z373" s="17"/>
      <c r="AA373" s="2" t="str">
        <f t="shared" ca="1" si="23"/>
        <v/>
      </c>
      <c r="AB373" s="2"/>
    </row>
    <row r="374" spans="1:28" x14ac:dyDescent="0.3">
      <c r="A374" s="2" t="str">
        <f t="shared" si="20"/>
        <v/>
      </c>
      <c r="B374" s="2"/>
      <c r="C374" s="17"/>
      <c r="D374" s="2" t="str">
        <f t="shared" si="21"/>
        <v/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tr">
        <f t="shared" si="22"/>
        <v/>
      </c>
      <c r="V374" s="2"/>
      <c r="W374" s="2"/>
      <c r="X374" s="2"/>
      <c r="Y374" s="17"/>
      <c r="Z374" s="17"/>
      <c r="AA374" s="2" t="str">
        <f t="shared" ca="1" si="23"/>
        <v/>
      </c>
      <c r="AB374" s="2"/>
    </row>
    <row r="375" spans="1:28" x14ac:dyDescent="0.3">
      <c r="A375" s="2" t="str">
        <f t="shared" si="20"/>
        <v/>
      </c>
      <c r="B375" s="2"/>
      <c r="C375" s="17"/>
      <c r="D375" s="2" t="str">
        <f t="shared" si="21"/>
        <v/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 t="str">
        <f t="shared" si="22"/>
        <v/>
      </c>
      <c r="V375" s="2"/>
      <c r="W375" s="2"/>
      <c r="X375" s="2"/>
      <c r="Y375" s="17"/>
      <c r="Z375" s="17"/>
      <c r="AA375" s="2" t="str">
        <f t="shared" ca="1" si="23"/>
        <v/>
      </c>
      <c r="AB375" s="2"/>
    </row>
    <row r="376" spans="1:28" x14ac:dyDescent="0.3">
      <c r="A376" s="2" t="str">
        <f t="shared" si="20"/>
        <v/>
      </c>
      <c r="B376" s="2"/>
      <c r="C376" s="17"/>
      <c r="D376" s="2" t="str">
        <f t="shared" si="21"/>
        <v/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 t="str">
        <f t="shared" si="22"/>
        <v/>
      </c>
      <c r="V376" s="2"/>
      <c r="W376" s="2"/>
      <c r="X376" s="2"/>
      <c r="Y376" s="17"/>
      <c r="Z376" s="17"/>
      <c r="AA376" s="2" t="str">
        <f t="shared" ca="1" si="23"/>
        <v/>
      </c>
      <c r="AB376" s="2"/>
    </row>
    <row r="377" spans="1:28" x14ac:dyDescent="0.3">
      <c r="A377" s="2" t="str">
        <f t="shared" si="20"/>
        <v/>
      </c>
      <c r="B377" s="2"/>
      <c r="C377" s="17"/>
      <c r="D377" s="2" t="str">
        <f t="shared" si="21"/>
        <v/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tr">
        <f t="shared" si="22"/>
        <v/>
      </c>
      <c r="V377" s="2"/>
      <c r="W377" s="2"/>
      <c r="X377" s="2"/>
      <c r="Y377" s="17"/>
      <c r="Z377" s="17"/>
      <c r="AA377" s="2" t="str">
        <f t="shared" ca="1" si="23"/>
        <v/>
      </c>
      <c r="AB377" s="2"/>
    </row>
    <row r="378" spans="1:28" x14ac:dyDescent="0.3">
      <c r="A378" s="2" t="str">
        <f t="shared" si="20"/>
        <v/>
      </c>
      <c r="B378" s="2"/>
      <c r="C378" s="17"/>
      <c r="D378" s="2" t="str">
        <f t="shared" si="21"/>
        <v/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 t="str">
        <f t="shared" si="22"/>
        <v/>
      </c>
      <c r="V378" s="2"/>
      <c r="W378" s="2"/>
      <c r="X378" s="2"/>
      <c r="Y378" s="17"/>
      <c r="Z378" s="17"/>
      <c r="AA378" s="2" t="str">
        <f t="shared" ca="1" si="23"/>
        <v/>
      </c>
      <c r="AB378" s="2"/>
    </row>
    <row r="379" spans="1:28" x14ac:dyDescent="0.3">
      <c r="A379" s="2" t="str">
        <f t="shared" si="20"/>
        <v/>
      </c>
      <c r="B379" s="2"/>
      <c r="C379" s="17"/>
      <c r="D379" s="2" t="str">
        <f t="shared" si="21"/>
        <v/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 t="str">
        <f t="shared" si="22"/>
        <v/>
      </c>
      <c r="V379" s="2"/>
      <c r="W379" s="2"/>
      <c r="X379" s="2"/>
      <c r="Y379" s="17"/>
      <c r="Z379" s="17"/>
      <c r="AA379" s="2" t="str">
        <f t="shared" ca="1" si="23"/>
        <v/>
      </c>
      <c r="AB379" s="2"/>
    </row>
    <row r="380" spans="1:28" x14ac:dyDescent="0.3">
      <c r="A380" s="2" t="str">
        <f t="shared" si="20"/>
        <v/>
      </c>
      <c r="B380" s="2"/>
      <c r="C380" s="17"/>
      <c r="D380" s="2" t="str">
        <f t="shared" si="21"/>
        <v/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 t="str">
        <f t="shared" si="22"/>
        <v/>
      </c>
      <c r="V380" s="2"/>
      <c r="W380" s="2"/>
      <c r="X380" s="2"/>
      <c r="Y380" s="17"/>
      <c r="Z380" s="17"/>
      <c r="AA380" s="2" t="str">
        <f t="shared" ca="1" si="23"/>
        <v/>
      </c>
      <c r="AB380" s="2"/>
    </row>
    <row r="381" spans="1:28" x14ac:dyDescent="0.3">
      <c r="A381" s="2" t="str">
        <f t="shared" si="20"/>
        <v/>
      </c>
      <c r="B381" s="2"/>
      <c r="C381" s="17"/>
      <c r="D381" s="2" t="str">
        <f t="shared" si="21"/>
        <v/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 t="str">
        <f t="shared" si="22"/>
        <v/>
      </c>
      <c r="V381" s="2"/>
      <c r="W381" s="2"/>
      <c r="X381" s="2"/>
      <c r="Y381" s="17"/>
      <c r="Z381" s="17"/>
      <c r="AA381" s="2" t="str">
        <f t="shared" ca="1" si="23"/>
        <v/>
      </c>
      <c r="AB381" s="2"/>
    </row>
    <row r="382" spans="1:28" x14ac:dyDescent="0.3">
      <c r="A382" s="2" t="str">
        <f t="shared" si="20"/>
        <v/>
      </c>
      <c r="B382" s="2"/>
      <c r="C382" s="17"/>
      <c r="D382" s="2" t="str">
        <f t="shared" si="21"/>
        <v/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 t="str">
        <f t="shared" si="22"/>
        <v/>
      </c>
      <c r="V382" s="2"/>
      <c r="W382" s="2"/>
      <c r="X382" s="2"/>
      <c r="Y382" s="17"/>
      <c r="Z382" s="17"/>
      <c r="AA382" s="2" t="str">
        <f t="shared" ca="1" si="23"/>
        <v/>
      </c>
      <c r="AB382" s="2"/>
    </row>
    <row r="383" spans="1:28" x14ac:dyDescent="0.3">
      <c r="A383" s="2" t="str">
        <f t="shared" si="20"/>
        <v/>
      </c>
      <c r="B383" s="2"/>
      <c r="C383" s="17"/>
      <c r="D383" s="2" t="str">
        <f t="shared" si="21"/>
        <v/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 t="str">
        <f t="shared" si="22"/>
        <v/>
      </c>
      <c r="V383" s="2"/>
      <c r="W383" s="2"/>
      <c r="X383" s="2"/>
      <c r="Y383" s="17"/>
      <c r="Z383" s="17"/>
      <c r="AA383" s="2" t="str">
        <f t="shared" ca="1" si="23"/>
        <v/>
      </c>
      <c r="AB383" s="2"/>
    </row>
    <row r="384" spans="1:28" x14ac:dyDescent="0.3">
      <c r="A384" s="2" t="str">
        <f t="shared" si="20"/>
        <v/>
      </c>
      <c r="B384" s="2"/>
      <c r="C384" s="17"/>
      <c r="D384" s="2" t="str">
        <f t="shared" si="21"/>
        <v/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 t="str">
        <f t="shared" si="22"/>
        <v/>
      </c>
      <c r="V384" s="2"/>
      <c r="W384" s="2"/>
      <c r="X384" s="2"/>
      <c r="Y384" s="17"/>
      <c r="Z384" s="17"/>
      <c r="AA384" s="2" t="str">
        <f t="shared" ca="1" si="23"/>
        <v/>
      </c>
      <c r="AB384" s="2"/>
    </row>
    <row r="385" spans="1:28" x14ac:dyDescent="0.3">
      <c r="A385" s="2" t="str">
        <f t="shared" si="20"/>
        <v/>
      </c>
      <c r="B385" s="2"/>
      <c r="C385" s="17"/>
      <c r="D385" s="2" t="str">
        <f t="shared" si="21"/>
        <v/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 t="str">
        <f t="shared" si="22"/>
        <v/>
      </c>
      <c r="V385" s="2"/>
      <c r="W385" s="2"/>
      <c r="X385" s="2"/>
      <c r="Y385" s="17"/>
      <c r="Z385" s="17"/>
      <c r="AA385" s="2" t="str">
        <f t="shared" ca="1" si="23"/>
        <v/>
      </c>
      <c r="AB385" s="2"/>
    </row>
    <row r="386" spans="1:28" x14ac:dyDescent="0.3">
      <c r="A386" s="2" t="str">
        <f t="shared" ref="A386:A449" si="24">IF(C386="","",ROW()-1)</f>
        <v/>
      </c>
      <c r="B386" s="2"/>
      <c r="C386" s="17"/>
      <c r="D386" s="2" t="str">
        <f t="shared" ref="D386:D449" si="25">IF(C386="","",TEXT(C386,"mmm-yy"))</f>
        <v/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tr">
        <f t="shared" ref="U386:U449" si="26">IF(OR(N386="Y",N386="Yes"),S386,"")</f>
        <v/>
      </c>
      <c r="V386" s="2"/>
      <c r="W386" s="2"/>
      <c r="X386" s="2"/>
      <c r="Y386" s="17"/>
      <c r="Z386" s="17"/>
      <c r="AA386" s="2" t="str">
        <f t="shared" ref="AA386:AA449" ca="1" si="27">IF(C386="","",IF(Z386&lt;&gt;"","Closed",IF(Y386&lt;TODAY(),"Overdue","Open")))</f>
        <v/>
      </c>
      <c r="AB386" s="2"/>
    </row>
    <row r="387" spans="1:28" x14ac:dyDescent="0.3">
      <c r="A387" s="2" t="str">
        <f t="shared" si="24"/>
        <v/>
      </c>
      <c r="B387" s="2"/>
      <c r="C387" s="17"/>
      <c r="D387" s="2" t="str">
        <f t="shared" si="25"/>
        <v/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 t="str">
        <f t="shared" si="26"/>
        <v/>
      </c>
      <c r="V387" s="2"/>
      <c r="W387" s="2"/>
      <c r="X387" s="2"/>
      <c r="Y387" s="17"/>
      <c r="Z387" s="17"/>
      <c r="AA387" s="2" t="str">
        <f t="shared" ca="1" si="27"/>
        <v/>
      </c>
      <c r="AB387" s="2"/>
    </row>
    <row r="388" spans="1:28" x14ac:dyDescent="0.3">
      <c r="A388" s="2" t="str">
        <f t="shared" si="24"/>
        <v/>
      </c>
      <c r="B388" s="2"/>
      <c r="C388" s="17"/>
      <c r="D388" s="2" t="str">
        <f t="shared" si="25"/>
        <v/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 t="str">
        <f t="shared" si="26"/>
        <v/>
      </c>
      <c r="V388" s="2"/>
      <c r="W388" s="2"/>
      <c r="X388" s="2"/>
      <c r="Y388" s="17"/>
      <c r="Z388" s="17"/>
      <c r="AA388" s="2" t="str">
        <f t="shared" ca="1" si="27"/>
        <v/>
      </c>
      <c r="AB388" s="2"/>
    </row>
    <row r="389" spans="1:28" x14ac:dyDescent="0.3">
      <c r="A389" s="2" t="str">
        <f t="shared" si="24"/>
        <v/>
      </c>
      <c r="B389" s="2"/>
      <c r="C389" s="17"/>
      <c r="D389" s="2" t="str">
        <f t="shared" si="25"/>
        <v/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 t="str">
        <f t="shared" si="26"/>
        <v/>
      </c>
      <c r="V389" s="2"/>
      <c r="W389" s="2"/>
      <c r="X389" s="2"/>
      <c r="Y389" s="17"/>
      <c r="Z389" s="17"/>
      <c r="AA389" s="2" t="str">
        <f t="shared" ca="1" si="27"/>
        <v/>
      </c>
      <c r="AB389" s="2"/>
    </row>
    <row r="390" spans="1:28" x14ac:dyDescent="0.3">
      <c r="A390" s="2" t="str">
        <f t="shared" si="24"/>
        <v/>
      </c>
      <c r="B390" s="2"/>
      <c r="C390" s="17"/>
      <c r="D390" s="2" t="str">
        <f t="shared" si="25"/>
        <v/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 t="str">
        <f t="shared" si="26"/>
        <v/>
      </c>
      <c r="V390" s="2"/>
      <c r="W390" s="2"/>
      <c r="X390" s="2"/>
      <c r="Y390" s="17"/>
      <c r="Z390" s="17"/>
      <c r="AA390" s="2" t="str">
        <f t="shared" ca="1" si="27"/>
        <v/>
      </c>
      <c r="AB390" s="2"/>
    </row>
    <row r="391" spans="1:28" x14ac:dyDescent="0.3">
      <c r="A391" s="2" t="str">
        <f t="shared" si="24"/>
        <v/>
      </c>
      <c r="B391" s="2"/>
      <c r="C391" s="17"/>
      <c r="D391" s="2" t="str">
        <f t="shared" si="25"/>
        <v/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 t="str">
        <f t="shared" si="26"/>
        <v/>
      </c>
      <c r="V391" s="2"/>
      <c r="W391" s="2"/>
      <c r="X391" s="2"/>
      <c r="Y391" s="17"/>
      <c r="Z391" s="17"/>
      <c r="AA391" s="2" t="str">
        <f t="shared" ca="1" si="27"/>
        <v/>
      </c>
      <c r="AB391" s="2"/>
    </row>
    <row r="392" spans="1:28" x14ac:dyDescent="0.3">
      <c r="A392" s="2" t="str">
        <f t="shared" si="24"/>
        <v/>
      </c>
      <c r="B392" s="2"/>
      <c r="C392" s="17"/>
      <c r="D392" s="2" t="str">
        <f t="shared" si="25"/>
        <v/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 t="str">
        <f t="shared" si="26"/>
        <v/>
      </c>
      <c r="V392" s="2"/>
      <c r="W392" s="2"/>
      <c r="X392" s="2"/>
      <c r="Y392" s="17"/>
      <c r="Z392" s="17"/>
      <c r="AA392" s="2" t="str">
        <f t="shared" ca="1" si="27"/>
        <v/>
      </c>
      <c r="AB392" s="2"/>
    </row>
    <row r="393" spans="1:28" x14ac:dyDescent="0.3">
      <c r="A393" s="2" t="str">
        <f t="shared" si="24"/>
        <v/>
      </c>
      <c r="B393" s="2"/>
      <c r="C393" s="17"/>
      <c r="D393" s="2" t="str">
        <f t="shared" si="25"/>
        <v/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 t="str">
        <f t="shared" si="26"/>
        <v/>
      </c>
      <c r="V393" s="2"/>
      <c r="W393" s="2"/>
      <c r="X393" s="2"/>
      <c r="Y393" s="17"/>
      <c r="Z393" s="17"/>
      <c r="AA393" s="2" t="str">
        <f t="shared" ca="1" si="27"/>
        <v/>
      </c>
      <c r="AB393" s="2"/>
    </row>
    <row r="394" spans="1:28" x14ac:dyDescent="0.3">
      <c r="A394" s="2" t="str">
        <f t="shared" si="24"/>
        <v/>
      </c>
      <c r="B394" s="2"/>
      <c r="C394" s="17"/>
      <c r="D394" s="2" t="str">
        <f t="shared" si="25"/>
        <v/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 t="str">
        <f t="shared" si="26"/>
        <v/>
      </c>
      <c r="V394" s="2"/>
      <c r="W394" s="2"/>
      <c r="X394" s="2"/>
      <c r="Y394" s="17"/>
      <c r="Z394" s="17"/>
      <c r="AA394" s="2" t="str">
        <f t="shared" ca="1" si="27"/>
        <v/>
      </c>
      <c r="AB394" s="2"/>
    </row>
    <row r="395" spans="1:28" x14ac:dyDescent="0.3">
      <c r="A395" s="2" t="str">
        <f t="shared" si="24"/>
        <v/>
      </c>
      <c r="B395" s="2"/>
      <c r="C395" s="17"/>
      <c r="D395" s="2" t="str">
        <f t="shared" si="25"/>
        <v/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 t="str">
        <f t="shared" si="26"/>
        <v/>
      </c>
      <c r="V395" s="2"/>
      <c r="W395" s="2"/>
      <c r="X395" s="2"/>
      <c r="Y395" s="17"/>
      <c r="Z395" s="17"/>
      <c r="AA395" s="2" t="str">
        <f t="shared" ca="1" si="27"/>
        <v/>
      </c>
      <c r="AB395" s="2"/>
    </row>
    <row r="396" spans="1:28" x14ac:dyDescent="0.3">
      <c r="A396" s="2" t="str">
        <f t="shared" si="24"/>
        <v/>
      </c>
      <c r="B396" s="2"/>
      <c r="C396" s="17"/>
      <c r="D396" s="2" t="str">
        <f t="shared" si="25"/>
        <v/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 t="str">
        <f t="shared" si="26"/>
        <v/>
      </c>
      <c r="V396" s="2"/>
      <c r="W396" s="2"/>
      <c r="X396" s="2"/>
      <c r="Y396" s="17"/>
      <c r="Z396" s="17"/>
      <c r="AA396" s="2" t="str">
        <f t="shared" ca="1" si="27"/>
        <v/>
      </c>
      <c r="AB396" s="2"/>
    </row>
    <row r="397" spans="1:28" x14ac:dyDescent="0.3">
      <c r="A397" s="2" t="str">
        <f t="shared" si="24"/>
        <v/>
      </c>
      <c r="B397" s="2"/>
      <c r="C397" s="17"/>
      <c r="D397" s="2" t="str">
        <f t="shared" si="25"/>
        <v/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 t="str">
        <f t="shared" si="26"/>
        <v/>
      </c>
      <c r="V397" s="2"/>
      <c r="W397" s="2"/>
      <c r="X397" s="2"/>
      <c r="Y397" s="17"/>
      <c r="Z397" s="17"/>
      <c r="AA397" s="2" t="str">
        <f t="shared" ca="1" si="27"/>
        <v/>
      </c>
      <c r="AB397" s="2"/>
    </row>
    <row r="398" spans="1:28" x14ac:dyDescent="0.3">
      <c r="A398" s="2" t="str">
        <f t="shared" si="24"/>
        <v/>
      </c>
      <c r="B398" s="2"/>
      <c r="C398" s="17"/>
      <c r="D398" s="2" t="str">
        <f t="shared" si="25"/>
        <v/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 t="str">
        <f t="shared" si="26"/>
        <v/>
      </c>
      <c r="V398" s="2"/>
      <c r="W398" s="2"/>
      <c r="X398" s="2"/>
      <c r="Y398" s="17"/>
      <c r="Z398" s="17"/>
      <c r="AA398" s="2" t="str">
        <f t="shared" ca="1" si="27"/>
        <v/>
      </c>
      <c r="AB398" s="2"/>
    </row>
    <row r="399" spans="1:28" x14ac:dyDescent="0.3">
      <c r="A399" s="2" t="str">
        <f t="shared" si="24"/>
        <v/>
      </c>
      <c r="B399" s="2"/>
      <c r="C399" s="17"/>
      <c r="D399" s="2" t="str">
        <f t="shared" si="25"/>
        <v/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 t="str">
        <f t="shared" si="26"/>
        <v/>
      </c>
      <c r="V399" s="2"/>
      <c r="W399" s="2"/>
      <c r="X399" s="2"/>
      <c r="Y399" s="17"/>
      <c r="Z399" s="17"/>
      <c r="AA399" s="2" t="str">
        <f t="shared" ca="1" si="27"/>
        <v/>
      </c>
      <c r="AB399" s="2"/>
    </row>
    <row r="400" spans="1:28" x14ac:dyDescent="0.3">
      <c r="A400" s="2" t="str">
        <f t="shared" si="24"/>
        <v/>
      </c>
      <c r="B400" s="2"/>
      <c r="C400" s="17"/>
      <c r="D400" s="2" t="str">
        <f t="shared" si="25"/>
        <v/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 t="str">
        <f t="shared" si="26"/>
        <v/>
      </c>
      <c r="V400" s="2"/>
      <c r="W400" s="2"/>
      <c r="X400" s="2"/>
      <c r="Y400" s="17"/>
      <c r="Z400" s="17"/>
      <c r="AA400" s="2" t="str">
        <f t="shared" ca="1" si="27"/>
        <v/>
      </c>
      <c r="AB400" s="2"/>
    </row>
    <row r="401" spans="1:28" x14ac:dyDescent="0.3">
      <c r="A401" s="2" t="str">
        <f t="shared" si="24"/>
        <v/>
      </c>
      <c r="B401" s="2"/>
      <c r="C401" s="17"/>
      <c r="D401" s="2" t="str">
        <f t="shared" si="25"/>
        <v/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 t="str">
        <f t="shared" si="26"/>
        <v/>
      </c>
      <c r="V401" s="2"/>
      <c r="W401" s="2"/>
      <c r="X401" s="2"/>
      <c r="Y401" s="17"/>
      <c r="Z401" s="17"/>
      <c r="AA401" s="2" t="str">
        <f t="shared" ca="1" si="27"/>
        <v/>
      </c>
      <c r="AB401" s="2"/>
    </row>
    <row r="402" spans="1:28" x14ac:dyDescent="0.3">
      <c r="A402" s="2" t="str">
        <f t="shared" si="24"/>
        <v/>
      </c>
      <c r="B402" s="2"/>
      <c r="C402" s="17"/>
      <c r="D402" s="2" t="str">
        <f t="shared" si="25"/>
        <v/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 t="str">
        <f t="shared" si="26"/>
        <v/>
      </c>
      <c r="V402" s="2"/>
      <c r="W402" s="2"/>
      <c r="X402" s="2"/>
      <c r="Y402" s="17"/>
      <c r="Z402" s="17"/>
      <c r="AA402" s="2" t="str">
        <f t="shared" ca="1" si="27"/>
        <v/>
      </c>
      <c r="AB402" s="2"/>
    </row>
    <row r="403" spans="1:28" x14ac:dyDescent="0.3">
      <c r="A403" s="2" t="str">
        <f t="shared" si="24"/>
        <v/>
      </c>
      <c r="B403" s="2"/>
      <c r="C403" s="17"/>
      <c r="D403" s="2" t="str">
        <f t="shared" si="25"/>
        <v/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 t="str">
        <f t="shared" si="26"/>
        <v/>
      </c>
      <c r="V403" s="2"/>
      <c r="W403" s="2"/>
      <c r="X403" s="2"/>
      <c r="Y403" s="17"/>
      <c r="Z403" s="17"/>
      <c r="AA403" s="2" t="str">
        <f t="shared" ca="1" si="27"/>
        <v/>
      </c>
      <c r="AB403" s="2"/>
    </row>
    <row r="404" spans="1:28" x14ac:dyDescent="0.3">
      <c r="A404" s="2" t="str">
        <f t="shared" si="24"/>
        <v/>
      </c>
      <c r="B404" s="2"/>
      <c r="C404" s="17"/>
      <c r="D404" s="2" t="str">
        <f t="shared" si="25"/>
        <v/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 t="str">
        <f t="shared" si="26"/>
        <v/>
      </c>
      <c r="V404" s="2"/>
      <c r="W404" s="2"/>
      <c r="X404" s="2"/>
      <c r="Y404" s="17"/>
      <c r="Z404" s="17"/>
      <c r="AA404" s="2" t="str">
        <f t="shared" ca="1" si="27"/>
        <v/>
      </c>
      <c r="AB404" s="2"/>
    </row>
    <row r="405" spans="1:28" x14ac:dyDescent="0.3">
      <c r="A405" s="2" t="str">
        <f t="shared" si="24"/>
        <v/>
      </c>
      <c r="B405" s="2"/>
      <c r="C405" s="17"/>
      <c r="D405" s="2" t="str">
        <f t="shared" si="25"/>
        <v/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 t="str">
        <f t="shared" si="26"/>
        <v/>
      </c>
      <c r="V405" s="2"/>
      <c r="W405" s="2"/>
      <c r="X405" s="2"/>
      <c r="Y405" s="17"/>
      <c r="Z405" s="17"/>
      <c r="AA405" s="2" t="str">
        <f t="shared" ca="1" si="27"/>
        <v/>
      </c>
      <c r="AB405" s="2"/>
    </row>
    <row r="406" spans="1:28" x14ac:dyDescent="0.3">
      <c r="A406" s="2" t="str">
        <f t="shared" si="24"/>
        <v/>
      </c>
      <c r="B406" s="2"/>
      <c r="C406" s="17"/>
      <c r="D406" s="2" t="str">
        <f t="shared" si="25"/>
        <v/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 t="str">
        <f t="shared" si="26"/>
        <v/>
      </c>
      <c r="V406" s="2"/>
      <c r="W406" s="2"/>
      <c r="X406" s="2"/>
      <c r="Y406" s="17"/>
      <c r="Z406" s="17"/>
      <c r="AA406" s="2" t="str">
        <f t="shared" ca="1" si="27"/>
        <v/>
      </c>
      <c r="AB406" s="2"/>
    </row>
    <row r="407" spans="1:28" x14ac:dyDescent="0.3">
      <c r="A407" s="2" t="str">
        <f t="shared" si="24"/>
        <v/>
      </c>
      <c r="B407" s="2"/>
      <c r="C407" s="17"/>
      <c r="D407" s="2" t="str">
        <f t="shared" si="25"/>
        <v/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 t="str">
        <f t="shared" si="26"/>
        <v/>
      </c>
      <c r="V407" s="2"/>
      <c r="W407" s="2"/>
      <c r="X407" s="2"/>
      <c r="Y407" s="17"/>
      <c r="Z407" s="17"/>
      <c r="AA407" s="2" t="str">
        <f t="shared" ca="1" si="27"/>
        <v/>
      </c>
      <c r="AB407" s="2"/>
    </row>
    <row r="408" spans="1:28" x14ac:dyDescent="0.3">
      <c r="A408" s="2" t="str">
        <f t="shared" si="24"/>
        <v/>
      </c>
      <c r="B408" s="2"/>
      <c r="C408" s="17"/>
      <c r="D408" s="2" t="str">
        <f t="shared" si="25"/>
        <v/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tr">
        <f t="shared" si="26"/>
        <v/>
      </c>
      <c r="V408" s="2"/>
      <c r="W408" s="2"/>
      <c r="X408" s="2"/>
      <c r="Y408" s="17"/>
      <c r="Z408" s="17"/>
      <c r="AA408" s="2" t="str">
        <f t="shared" ca="1" si="27"/>
        <v/>
      </c>
      <c r="AB408" s="2"/>
    </row>
    <row r="409" spans="1:28" x14ac:dyDescent="0.3">
      <c r="A409" s="2" t="str">
        <f t="shared" si="24"/>
        <v/>
      </c>
      <c r="B409" s="2"/>
      <c r="C409" s="17"/>
      <c r="D409" s="2" t="str">
        <f t="shared" si="25"/>
        <v/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 t="str">
        <f t="shared" si="26"/>
        <v/>
      </c>
      <c r="V409" s="2"/>
      <c r="W409" s="2"/>
      <c r="X409" s="2"/>
      <c r="Y409" s="17"/>
      <c r="Z409" s="17"/>
      <c r="AA409" s="2" t="str">
        <f t="shared" ca="1" si="27"/>
        <v/>
      </c>
      <c r="AB409" s="2"/>
    </row>
    <row r="410" spans="1:28" x14ac:dyDescent="0.3">
      <c r="A410" s="2" t="str">
        <f t="shared" si="24"/>
        <v/>
      </c>
      <c r="B410" s="2"/>
      <c r="C410" s="17"/>
      <c r="D410" s="2" t="str">
        <f t="shared" si="25"/>
        <v/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 t="str">
        <f t="shared" si="26"/>
        <v/>
      </c>
      <c r="V410" s="2"/>
      <c r="W410" s="2"/>
      <c r="X410" s="2"/>
      <c r="Y410" s="17"/>
      <c r="Z410" s="17"/>
      <c r="AA410" s="2" t="str">
        <f t="shared" ca="1" si="27"/>
        <v/>
      </c>
      <c r="AB410" s="2"/>
    </row>
    <row r="411" spans="1:28" x14ac:dyDescent="0.3">
      <c r="A411" s="2" t="str">
        <f t="shared" si="24"/>
        <v/>
      </c>
      <c r="B411" s="2"/>
      <c r="C411" s="17"/>
      <c r="D411" s="2" t="str">
        <f t="shared" si="25"/>
        <v/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 t="str">
        <f t="shared" si="26"/>
        <v/>
      </c>
      <c r="V411" s="2"/>
      <c r="W411" s="2"/>
      <c r="X411" s="2"/>
      <c r="Y411" s="17"/>
      <c r="Z411" s="17"/>
      <c r="AA411" s="2" t="str">
        <f t="shared" ca="1" si="27"/>
        <v/>
      </c>
      <c r="AB411" s="2"/>
    </row>
    <row r="412" spans="1:28" x14ac:dyDescent="0.3">
      <c r="A412" s="2" t="str">
        <f t="shared" si="24"/>
        <v/>
      </c>
      <c r="B412" s="2"/>
      <c r="C412" s="17"/>
      <c r="D412" s="2" t="str">
        <f t="shared" si="25"/>
        <v/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 t="str">
        <f t="shared" si="26"/>
        <v/>
      </c>
      <c r="V412" s="2"/>
      <c r="W412" s="2"/>
      <c r="X412" s="2"/>
      <c r="Y412" s="17"/>
      <c r="Z412" s="17"/>
      <c r="AA412" s="2" t="str">
        <f t="shared" ca="1" si="27"/>
        <v/>
      </c>
      <c r="AB412" s="2"/>
    </row>
    <row r="413" spans="1:28" x14ac:dyDescent="0.3">
      <c r="A413" s="2" t="str">
        <f t="shared" si="24"/>
        <v/>
      </c>
      <c r="B413" s="2"/>
      <c r="C413" s="17"/>
      <c r="D413" s="2" t="str">
        <f t="shared" si="25"/>
        <v/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 t="str">
        <f t="shared" si="26"/>
        <v/>
      </c>
      <c r="V413" s="2"/>
      <c r="W413" s="2"/>
      <c r="X413" s="2"/>
      <c r="Y413" s="17"/>
      <c r="Z413" s="17"/>
      <c r="AA413" s="2" t="str">
        <f t="shared" ca="1" si="27"/>
        <v/>
      </c>
      <c r="AB413" s="2"/>
    </row>
    <row r="414" spans="1:28" x14ac:dyDescent="0.3">
      <c r="A414" s="2" t="str">
        <f t="shared" si="24"/>
        <v/>
      </c>
      <c r="B414" s="2"/>
      <c r="C414" s="17"/>
      <c r="D414" s="2" t="str">
        <f t="shared" si="25"/>
        <v/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 t="str">
        <f t="shared" si="26"/>
        <v/>
      </c>
      <c r="V414" s="2"/>
      <c r="W414" s="2"/>
      <c r="X414" s="2"/>
      <c r="Y414" s="17"/>
      <c r="Z414" s="17"/>
      <c r="AA414" s="2" t="str">
        <f t="shared" ca="1" si="27"/>
        <v/>
      </c>
      <c r="AB414" s="2"/>
    </row>
    <row r="415" spans="1:28" x14ac:dyDescent="0.3">
      <c r="A415" s="2" t="str">
        <f t="shared" si="24"/>
        <v/>
      </c>
      <c r="B415" s="2"/>
      <c r="C415" s="17"/>
      <c r="D415" s="2" t="str">
        <f t="shared" si="25"/>
        <v/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tr">
        <f t="shared" si="26"/>
        <v/>
      </c>
      <c r="V415" s="2"/>
      <c r="W415" s="2"/>
      <c r="X415" s="2"/>
      <c r="Y415" s="17"/>
      <c r="Z415" s="17"/>
      <c r="AA415" s="2" t="str">
        <f t="shared" ca="1" si="27"/>
        <v/>
      </c>
      <c r="AB415" s="2"/>
    </row>
    <row r="416" spans="1:28" x14ac:dyDescent="0.3">
      <c r="A416" s="2" t="str">
        <f t="shared" si="24"/>
        <v/>
      </c>
      <c r="B416" s="2"/>
      <c r="C416" s="17"/>
      <c r="D416" s="2" t="str">
        <f t="shared" si="25"/>
        <v/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tr">
        <f t="shared" si="26"/>
        <v/>
      </c>
      <c r="V416" s="2"/>
      <c r="W416" s="2"/>
      <c r="X416" s="2"/>
      <c r="Y416" s="17"/>
      <c r="Z416" s="17"/>
      <c r="AA416" s="2" t="str">
        <f t="shared" ca="1" si="27"/>
        <v/>
      </c>
      <c r="AB416" s="2"/>
    </row>
    <row r="417" spans="1:28" x14ac:dyDescent="0.3">
      <c r="A417" s="2" t="str">
        <f t="shared" si="24"/>
        <v/>
      </c>
      <c r="B417" s="2"/>
      <c r="C417" s="17"/>
      <c r="D417" s="2" t="str">
        <f t="shared" si="25"/>
        <v/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 t="str">
        <f t="shared" si="26"/>
        <v/>
      </c>
      <c r="V417" s="2"/>
      <c r="W417" s="2"/>
      <c r="X417" s="2"/>
      <c r="Y417" s="17"/>
      <c r="Z417" s="17"/>
      <c r="AA417" s="2" t="str">
        <f t="shared" ca="1" si="27"/>
        <v/>
      </c>
      <c r="AB417" s="2"/>
    </row>
    <row r="418" spans="1:28" x14ac:dyDescent="0.3">
      <c r="A418" s="2" t="str">
        <f t="shared" si="24"/>
        <v/>
      </c>
      <c r="B418" s="2"/>
      <c r="C418" s="17"/>
      <c r="D418" s="2" t="str">
        <f t="shared" si="25"/>
        <v/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 t="str">
        <f t="shared" si="26"/>
        <v/>
      </c>
      <c r="V418" s="2"/>
      <c r="W418" s="2"/>
      <c r="X418" s="2"/>
      <c r="Y418" s="17"/>
      <c r="Z418" s="17"/>
      <c r="AA418" s="2" t="str">
        <f t="shared" ca="1" si="27"/>
        <v/>
      </c>
      <c r="AB418" s="2"/>
    </row>
    <row r="419" spans="1:28" x14ac:dyDescent="0.3">
      <c r="A419" s="2" t="str">
        <f t="shared" si="24"/>
        <v/>
      </c>
      <c r="B419" s="2"/>
      <c r="C419" s="17"/>
      <c r="D419" s="2" t="str">
        <f t="shared" si="25"/>
        <v/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 t="str">
        <f t="shared" si="26"/>
        <v/>
      </c>
      <c r="V419" s="2"/>
      <c r="W419" s="2"/>
      <c r="X419" s="2"/>
      <c r="Y419" s="17"/>
      <c r="Z419" s="17"/>
      <c r="AA419" s="2" t="str">
        <f t="shared" ca="1" si="27"/>
        <v/>
      </c>
      <c r="AB419" s="2"/>
    </row>
    <row r="420" spans="1:28" x14ac:dyDescent="0.3">
      <c r="A420" s="2" t="str">
        <f t="shared" si="24"/>
        <v/>
      </c>
      <c r="B420" s="2"/>
      <c r="C420" s="17"/>
      <c r="D420" s="2" t="str">
        <f t="shared" si="25"/>
        <v/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 t="str">
        <f t="shared" si="26"/>
        <v/>
      </c>
      <c r="V420" s="2"/>
      <c r="W420" s="2"/>
      <c r="X420" s="2"/>
      <c r="Y420" s="17"/>
      <c r="Z420" s="17"/>
      <c r="AA420" s="2" t="str">
        <f t="shared" ca="1" si="27"/>
        <v/>
      </c>
      <c r="AB420" s="2"/>
    </row>
    <row r="421" spans="1:28" x14ac:dyDescent="0.3">
      <c r="A421" s="2" t="str">
        <f t="shared" si="24"/>
        <v/>
      </c>
      <c r="B421" s="2"/>
      <c r="C421" s="17"/>
      <c r="D421" s="2" t="str">
        <f t="shared" si="25"/>
        <v/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 t="str">
        <f t="shared" si="26"/>
        <v/>
      </c>
      <c r="V421" s="2"/>
      <c r="W421" s="2"/>
      <c r="X421" s="2"/>
      <c r="Y421" s="17"/>
      <c r="Z421" s="17"/>
      <c r="AA421" s="2" t="str">
        <f t="shared" ca="1" si="27"/>
        <v/>
      </c>
      <c r="AB421" s="2"/>
    </row>
    <row r="422" spans="1:28" x14ac:dyDescent="0.3">
      <c r="A422" s="2" t="str">
        <f t="shared" si="24"/>
        <v/>
      </c>
      <c r="B422" s="2"/>
      <c r="C422" s="17"/>
      <c r="D422" s="2" t="str">
        <f t="shared" si="25"/>
        <v/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 t="str">
        <f t="shared" si="26"/>
        <v/>
      </c>
      <c r="V422" s="2"/>
      <c r="W422" s="2"/>
      <c r="X422" s="2"/>
      <c r="Y422" s="17"/>
      <c r="Z422" s="17"/>
      <c r="AA422" s="2" t="str">
        <f t="shared" ca="1" si="27"/>
        <v/>
      </c>
      <c r="AB422" s="2"/>
    </row>
    <row r="423" spans="1:28" x14ac:dyDescent="0.3">
      <c r="A423" s="2" t="str">
        <f t="shared" si="24"/>
        <v/>
      </c>
      <c r="B423" s="2"/>
      <c r="C423" s="17"/>
      <c r="D423" s="2" t="str">
        <f t="shared" si="25"/>
        <v/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 t="str">
        <f t="shared" si="26"/>
        <v/>
      </c>
      <c r="V423" s="2"/>
      <c r="W423" s="2"/>
      <c r="X423" s="2"/>
      <c r="Y423" s="17"/>
      <c r="Z423" s="17"/>
      <c r="AA423" s="2" t="str">
        <f t="shared" ca="1" si="27"/>
        <v/>
      </c>
      <c r="AB423" s="2"/>
    </row>
    <row r="424" spans="1:28" x14ac:dyDescent="0.3">
      <c r="A424" s="2" t="str">
        <f t="shared" si="24"/>
        <v/>
      </c>
      <c r="B424" s="2"/>
      <c r="C424" s="17"/>
      <c r="D424" s="2" t="str">
        <f t="shared" si="25"/>
        <v/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 t="str">
        <f t="shared" si="26"/>
        <v/>
      </c>
      <c r="V424" s="2"/>
      <c r="W424" s="2"/>
      <c r="X424" s="2"/>
      <c r="Y424" s="17"/>
      <c r="Z424" s="17"/>
      <c r="AA424" s="2" t="str">
        <f t="shared" ca="1" si="27"/>
        <v/>
      </c>
      <c r="AB424" s="2"/>
    </row>
    <row r="425" spans="1:28" x14ac:dyDescent="0.3">
      <c r="A425" s="2" t="str">
        <f t="shared" si="24"/>
        <v/>
      </c>
      <c r="B425" s="2"/>
      <c r="C425" s="17"/>
      <c r="D425" s="2" t="str">
        <f t="shared" si="25"/>
        <v/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 t="str">
        <f t="shared" si="26"/>
        <v/>
      </c>
      <c r="V425" s="2"/>
      <c r="W425" s="2"/>
      <c r="X425" s="2"/>
      <c r="Y425" s="17"/>
      <c r="Z425" s="17"/>
      <c r="AA425" s="2" t="str">
        <f t="shared" ca="1" si="27"/>
        <v/>
      </c>
      <c r="AB425" s="2"/>
    </row>
    <row r="426" spans="1:28" x14ac:dyDescent="0.3">
      <c r="A426" s="2" t="str">
        <f t="shared" si="24"/>
        <v/>
      </c>
      <c r="B426" s="2"/>
      <c r="C426" s="17"/>
      <c r="D426" s="2" t="str">
        <f t="shared" si="25"/>
        <v/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 t="str">
        <f t="shared" si="26"/>
        <v/>
      </c>
      <c r="V426" s="2"/>
      <c r="W426" s="2"/>
      <c r="X426" s="2"/>
      <c r="Y426" s="17"/>
      <c r="Z426" s="17"/>
      <c r="AA426" s="2" t="str">
        <f t="shared" ca="1" si="27"/>
        <v/>
      </c>
      <c r="AB426" s="2"/>
    </row>
    <row r="427" spans="1:28" x14ac:dyDescent="0.3">
      <c r="A427" s="2" t="str">
        <f t="shared" si="24"/>
        <v/>
      </c>
      <c r="B427" s="2"/>
      <c r="C427" s="17"/>
      <c r="D427" s="2" t="str">
        <f t="shared" si="25"/>
        <v/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 t="str">
        <f t="shared" si="26"/>
        <v/>
      </c>
      <c r="V427" s="2"/>
      <c r="W427" s="2"/>
      <c r="X427" s="2"/>
      <c r="Y427" s="17"/>
      <c r="Z427" s="17"/>
      <c r="AA427" s="2" t="str">
        <f t="shared" ca="1" si="27"/>
        <v/>
      </c>
      <c r="AB427" s="2"/>
    </row>
    <row r="428" spans="1:28" x14ac:dyDescent="0.3">
      <c r="A428" s="2" t="str">
        <f t="shared" si="24"/>
        <v/>
      </c>
      <c r="B428" s="2"/>
      <c r="C428" s="17"/>
      <c r="D428" s="2" t="str">
        <f t="shared" si="25"/>
        <v/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 t="str">
        <f t="shared" si="26"/>
        <v/>
      </c>
      <c r="V428" s="2"/>
      <c r="W428" s="2"/>
      <c r="X428" s="2"/>
      <c r="Y428" s="17"/>
      <c r="Z428" s="17"/>
      <c r="AA428" s="2" t="str">
        <f t="shared" ca="1" si="27"/>
        <v/>
      </c>
      <c r="AB428" s="2"/>
    </row>
    <row r="429" spans="1:28" x14ac:dyDescent="0.3">
      <c r="A429" s="2" t="str">
        <f t="shared" si="24"/>
        <v/>
      </c>
      <c r="B429" s="2"/>
      <c r="C429" s="17"/>
      <c r="D429" s="2" t="str">
        <f t="shared" si="25"/>
        <v/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 t="str">
        <f t="shared" si="26"/>
        <v/>
      </c>
      <c r="V429" s="2"/>
      <c r="W429" s="2"/>
      <c r="X429" s="2"/>
      <c r="Y429" s="17"/>
      <c r="Z429" s="17"/>
      <c r="AA429" s="2" t="str">
        <f t="shared" ca="1" si="27"/>
        <v/>
      </c>
      <c r="AB429" s="2"/>
    </row>
    <row r="430" spans="1:28" x14ac:dyDescent="0.3">
      <c r="A430" s="2" t="str">
        <f t="shared" si="24"/>
        <v/>
      </c>
      <c r="B430" s="2"/>
      <c r="C430" s="17"/>
      <c r="D430" s="2" t="str">
        <f t="shared" si="25"/>
        <v/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 t="str">
        <f t="shared" si="26"/>
        <v/>
      </c>
      <c r="V430" s="2"/>
      <c r="W430" s="2"/>
      <c r="X430" s="2"/>
      <c r="Y430" s="17"/>
      <c r="Z430" s="17"/>
      <c r="AA430" s="2" t="str">
        <f t="shared" ca="1" si="27"/>
        <v/>
      </c>
      <c r="AB430" s="2"/>
    </row>
    <row r="431" spans="1:28" x14ac:dyDescent="0.3">
      <c r="A431" s="2" t="str">
        <f t="shared" si="24"/>
        <v/>
      </c>
      <c r="B431" s="2"/>
      <c r="C431" s="17"/>
      <c r="D431" s="2" t="str">
        <f t="shared" si="25"/>
        <v/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 t="str">
        <f t="shared" si="26"/>
        <v/>
      </c>
      <c r="V431" s="2"/>
      <c r="W431" s="2"/>
      <c r="X431" s="2"/>
      <c r="Y431" s="17"/>
      <c r="Z431" s="17"/>
      <c r="AA431" s="2" t="str">
        <f t="shared" ca="1" si="27"/>
        <v/>
      </c>
      <c r="AB431" s="2"/>
    </row>
    <row r="432" spans="1:28" x14ac:dyDescent="0.3">
      <c r="A432" s="2" t="str">
        <f t="shared" si="24"/>
        <v/>
      </c>
      <c r="B432" s="2"/>
      <c r="C432" s="17"/>
      <c r="D432" s="2" t="str">
        <f t="shared" si="25"/>
        <v/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 t="str">
        <f t="shared" si="26"/>
        <v/>
      </c>
      <c r="V432" s="2"/>
      <c r="W432" s="2"/>
      <c r="X432" s="2"/>
      <c r="Y432" s="17"/>
      <c r="Z432" s="17"/>
      <c r="AA432" s="2" t="str">
        <f t="shared" ca="1" si="27"/>
        <v/>
      </c>
      <c r="AB432" s="2"/>
    </row>
    <row r="433" spans="1:28" x14ac:dyDescent="0.3">
      <c r="A433" s="2" t="str">
        <f t="shared" si="24"/>
        <v/>
      </c>
      <c r="B433" s="2"/>
      <c r="C433" s="17"/>
      <c r="D433" s="2" t="str">
        <f t="shared" si="25"/>
        <v/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 t="str">
        <f t="shared" si="26"/>
        <v/>
      </c>
      <c r="V433" s="2"/>
      <c r="W433" s="2"/>
      <c r="X433" s="2"/>
      <c r="Y433" s="17"/>
      <c r="Z433" s="17"/>
      <c r="AA433" s="2" t="str">
        <f t="shared" ca="1" si="27"/>
        <v/>
      </c>
      <c r="AB433" s="2"/>
    </row>
    <row r="434" spans="1:28" x14ac:dyDescent="0.3">
      <c r="A434" s="2" t="str">
        <f t="shared" si="24"/>
        <v/>
      </c>
      <c r="B434" s="2"/>
      <c r="C434" s="17"/>
      <c r="D434" s="2" t="str">
        <f t="shared" si="25"/>
        <v/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 t="str">
        <f t="shared" si="26"/>
        <v/>
      </c>
      <c r="V434" s="2"/>
      <c r="W434" s="2"/>
      <c r="X434" s="2"/>
      <c r="Y434" s="17"/>
      <c r="Z434" s="17"/>
      <c r="AA434" s="2" t="str">
        <f t="shared" ca="1" si="27"/>
        <v/>
      </c>
      <c r="AB434" s="2"/>
    </row>
    <row r="435" spans="1:28" x14ac:dyDescent="0.3">
      <c r="A435" s="2" t="str">
        <f t="shared" si="24"/>
        <v/>
      </c>
      <c r="B435" s="2"/>
      <c r="C435" s="17"/>
      <c r="D435" s="2" t="str">
        <f t="shared" si="25"/>
        <v/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 t="str">
        <f t="shared" si="26"/>
        <v/>
      </c>
      <c r="V435" s="2"/>
      <c r="W435" s="2"/>
      <c r="X435" s="2"/>
      <c r="Y435" s="17"/>
      <c r="Z435" s="17"/>
      <c r="AA435" s="2" t="str">
        <f t="shared" ca="1" si="27"/>
        <v/>
      </c>
      <c r="AB435" s="2"/>
    </row>
    <row r="436" spans="1:28" x14ac:dyDescent="0.3">
      <c r="A436" s="2" t="str">
        <f t="shared" si="24"/>
        <v/>
      </c>
      <c r="B436" s="2"/>
      <c r="C436" s="17"/>
      <c r="D436" s="2" t="str">
        <f t="shared" si="25"/>
        <v/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 t="str">
        <f t="shared" si="26"/>
        <v/>
      </c>
      <c r="V436" s="2"/>
      <c r="W436" s="2"/>
      <c r="X436" s="2"/>
      <c r="Y436" s="17"/>
      <c r="Z436" s="17"/>
      <c r="AA436" s="2" t="str">
        <f t="shared" ca="1" si="27"/>
        <v/>
      </c>
      <c r="AB436" s="2"/>
    </row>
    <row r="437" spans="1:28" x14ac:dyDescent="0.3">
      <c r="A437" s="2" t="str">
        <f t="shared" si="24"/>
        <v/>
      </c>
      <c r="B437" s="2"/>
      <c r="C437" s="17"/>
      <c r="D437" s="2" t="str">
        <f t="shared" si="25"/>
        <v/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 t="str">
        <f t="shared" si="26"/>
        <v/>
      </c>
      <c r="V437" s="2"/>
      <c r="W437" s="2"/>
      <c r="X437" s="2"/>
      <c r="Y437" s="17"/>
      <c r="Z437" s="17"/>
      <c r="AA437" s="2" t="str">
        <f t="shared" ca="1" si="27"/>
        <v/>
      </c>
      <c r="AB437" s="2"/>
    </row>
    <row r="438" spans="1:28" x14ac:dyDescent="0.3">
      <c r="A438" s="2" t="str">
        <f t="shared" si="24"/>
        <v/>
      </c>
      <c r="B438" s="2"/>
      <c r="C438" s="17"/>
      <c r="D438" s="2" t="str">
        <f t="shared" si="25"/>
        <v/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tr">
        <f t="shared" si="26"/>
        <v/>
      </c>
      <c r="V438" s="2"/>
      <c r="W438" s="2"/>
      <c r="X438" s="2"/>
      <c r="Y438" s="17"/>
      <c r="Z438" s="17"/>
      <c r="AA438" s="2" t="str">
        <f t="shared" ca="1" si="27"/>
        <v/>
      </c>
      <c r="AB438" s="2"/>
    </row>
    <row r="439" spans="1:28" x14ac:dyDescent="0.3">
      <c r="A439" s="2" t="str">
        <f t="shared" si="24"/>
        <v/>
      </c>
      <c r="B439" s="2"/>
      <c r="C439" s="17"/>
      <c r="D439" s="2" t="str">
        <f t="shared" si="25"/>
        <v/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 t="str">
        <f t="shared" si="26"/>
        <v/>
      </c>
      <c r="V439" s="2"/>
      <c r="W439" s="2"/>
      <c r="X439" s="2"/>
      <c r="Y439" s="17"/>
      <c r="Z439" s="17"/>
      <c r="AA439" s="2" t="str">
        <f t="shared" ca="1" si="27"/>
        <v/>
      </c>
      <c r="AB439" s="2"/>
    </row>
    <row r="440" spans="1:28" x14ac:dyDescent="0.3">
      <c r="A440" s="2" t="str">
        <f t="shared" si="24"/>
        <v/>
      </c>
      <c r="B440" s="2"/>
      <c r="C440" s="17"/>
      <c r="D440" s="2" t="str">
        <f t="shared" si="25"/>
        <v/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tr">
        <f t="shared" si="26"/>
        <v/>
      </c>
      <c r="V440" s="2"/>
      <c r="W440" s="2"/>
      <c r="X440" s="2"/>
      <c r="Y440" s="17"/>
      <c r="Z440" s="17"/>
      <c r="AA440" s="2" t="str">
        <f t="shared" ca="1" si="27"/>
        <v/>
      </c>
      <c r="AB440" s="2"/>
    </row>
    <row r="441" spans="1:28" x14ac:dyDescent="0.3">
      <c r="A441" s="2" t="str">
        <f t="shared" si="24"/>
        <v/>
      </c>
      <c r="B441" s="2"/>
      <c r="C441" s="17"/>
      <c r="D441" s="2" t="str">
        <f t="shared" si="25"/>
        <v/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 t="str">
        <f t="shared" si="26"/>
        <v/>
      </c>
      <c r="V441" s="2"/>
      <c r="W441" s="2"/>
      <c r="X441" s="2"/>
      <c r="Y441" s="17"/>
      <c r="Z441" s="17"/>
      <c r="AA441" s="2" t="str">
        <f t="shared" ca="1" si="27"/>
        <v/>
      </c>
      <c r="AB441" s="2"/>
    </row>
    <row r="442" spans="1:28" x14ac:dyDescent="0.3">
      <c r="A442" s="2" t="str">
        <f t="shared" si="24"/>
        <v/>
      </c>
      <c r="B442" s="2"/>
      <c r="C442" s="17"/>
      <c r="D442" s="2" t="str">
        <f t="shared" si="25"/>
        <v/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 t="str">
        <f t="shared" si="26"/>
        <v/>
      </c>
      <c r="V442" s="2"/>
      <c r="W442" s="2"/>
      <c r="X442" s="2"/>
      <c r="Y442" s="17"/>
      <c r="Z442" s="17"/>
      <c r="AA442" s="2" t="str">
        <f t="shared" ca="1" si="27"/>
        <v/>
      </c>
      <c r="AB442" s="2"/>
    </row>
    <row r="443" spans="1:28" x14ac:dyDescent="0.3">
      <c r="A443" s="2" t="str">
        <f t="shared" si="24"/>
        <v/>
      </c>
      <c r="B443" s="2"/>
      <c r="C443" s="17"/>
      <c r="D443" s="2" t="str">
        <f t="shared" si="25"/>
        <v/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 t="str">
        <f t="shared" si="26"/>
        <v/>
      </c>
      <c r="V443" s="2"/>
      <c r="W443" s="2"/>
      <c r="X443" s="2"/>
      <c r="Y443" s="17"/>
      <c r="Z443" s="17"/>
      <c r="AA443" s="2" t="str">
        <f t="shared" ca="1" si="27"/>
        <v/>
      </c>
      <c r="AB443" s="2"/>
    </row>
    <row r="444" spans="1:28" x14ac:dyDescent="0.3">
      <c r="A444" s="2" t="str">
        <f t="shared" si="24"/>
        <v/>
      </c>
      <c r="B444" s="2"/>
      <c r="C444" s="17"/>
      <c r="D444" s="2" t="str">
        <f t="shared" si="25"/>
        <v/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 t="str">
        <f t="shared" si="26"/>
        <v/>
      </c>
      <c r="V444" s="2"/>
      <c r="W444" s="2"/>
      <c r="X444" s="2"/>
      <c r="Y444" s="17"/>
      <c r="Z444" s="17"/>
      <c r="AA444" s="2" t="str">
        <f t="shared" ca="1" si="27"/>
        <v/>
      </c>
      <c r="AB444" s="2"/>
    </row>
    <row r="445" spans="1:28" x14ac:dyDescent="0.3">
      <c r="A445" s="2" t="str">
        <f t="shared" si="24"/>
        <v/>
      </c>
      <c r="B445" s="2"/>
      <c r="C445" s="17"/>
      <c r="D445" s="2" t="str">
        <f t="shared" si="25"/>
        <v/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 t="str">
        <f t="shared" si="26"/>
        <v/>
      </c>
      <c r="V445" s="2"/>
      <c r="W445" s="2"/>
      <c r="X445" s="2"/>
      <c r="Y445" s="17"/>
      <c r="Z445" s="17"/>
      <c r="AA445" s="2" t="str">
        <f t="shared" ca="1" si="27"/>
        <v/>
      </c>
      <c r="AB445" s="2"/>
    </row>
    <row r="446" spans="1:28" x14ac:dyDescent="0.3">
      <c r="A446" s="2" t="str">
        <f t="shared" si="24"/>
        <v/>
      </c>
      <c r="B446" s="2"/>
      <c r="C446" s="17"/>
      <c r="D446" s="2" t="str">
        <f t="shared" si="25"/>
        <v/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 t="str">
        <f t="shared" si="26"/>
        <v/>
      </c>
      <c r="V446" s="2"/>
      <c r="W446" s="2"/>
      <c r="X446" s="2"/>
      <c r="Y446" s="17"/>
      <c r="Z446" s="17"/>
      <c r="AA446" s="2" t="str">
        <f t="shared" ca="1" si="27"/>
        <v/>
      </c>
      <c r="AB446" s="2"/>
    </row>
    <row r="447" spans="1:28" x14ac:dyDescent="0.3">
      <c r="A447" s="2" t="str">
        <f t="shared" si="24"/>
        <v/>
      </c>
      <c r="B447" s="2"/>
      <c r="C447" s="17"/>
      <c r="D447" s="2" t="str">
        <f t="shared" si="25"/>
        <v/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 t="str">
        <f t="shared" si="26"/>
        <v/>
      </c>
      <c r="V447" s="2"/>
      <c r="W447" s="2"/>
      <c r="X447" s="2"/>
      <c r="Y447" s="17"/>
      <c r="Z447" s="17"/>
      <c r="AA447" s="2" t="str">
        <f t="shared" ca="1" si="27"/>
        <v/>
      </c>
      <c r="AB447" s="2"/>
    </row>
    <row r="448" spans="1:28" x14ac:dyDescent="0.3">
      <c r="A448" s="2" t="str">
        <f t="shared" si="24"/>
        <v/>
      </c>
      <c r="B448" s="2"/>
      <c r="C448" s="17"/>
      <c r="D448" s="2" t="str">
        <f t="shared" si="25"/>
        <v/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 t="str">
        <f t="shared" si="26"/>
        <v/>
      </c>
      <c r="V448" s="2"/>
      <c r="W448" s="2"/>
      <c r="X448" s="2"/>
      <c r="Y448" s="17"/>
      <c r="Z448" s="17"/>
      <c r="AA448" s="2" t="str">
        <f t="shared" ca="1" si="27"/>
        <v/>
      </c>
      <c r="AB448" s="2"/>
    </row>
    <row r="449" spans="1:28" x14ac:dyDescent="0.3">
      <c r="A449" s="2" t="str">
        <f t="shared" si="24"/>
        <v/>
      </c>
      <c r="B449" s="2"/>
      <c r="C449" s="17"/>
      <c r="D449" s="2" t="str">
        <f t="shared" si="25"/>
        <v/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 t="str">
        <f t="shared" si="26"/>
        <v/>
      </c>
      <c r="V449" s="2"/>
      <c r="W449" s="2"/>
      <c r="X449" s="2"/>
      <c r="Y449" s="17"/>
      <c r="Z449" s="17"/>
      <c r="AA449" s="2" t="str">
        <f t="shared" ca="1" si="27"/>
        <v/>
      </c>
      <c r="AB449" s="2"/>
    </row>
    <row r="450" spans="1:28" x14ac:dyDescent="0.3">
      <c r="A450" s="2" t="str">
        <f t="shared" ref="A450:A501" si="28">IF(C450="","",ROW()-1)</f>
        <v/>
      </c>
      <c r="B450" s="2"/>
      <c r="C450" s="17"/>
      <c r="D450" s="2" t="str">
        <f t="shared" ref="D450:D501" si="29">IF(C450="","",TEXT(C450,"mmm-yy"))</f>
        <v/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 t="str">
        <f t="shared" ref="U450:U501" si="30">IF(OR(N450="Y",N450="Yes"),S450,"")</f>
        <v/>
      </c>
      <c r="V450" s="2"/>
      <c r="W450" s="2"/>
      <c r="X450" s="2"/>
      <c r="Y450" s="17"/>
      <c r="Z450" s="17"/>
      <c r="AA450" s="2" t="str">
        <f t="shared" ref="AA450:AA501" ca="1" si="31">IF(C450="","",IF(Z450&lt;&gt;"","Closed",IF(Y450&lt;TODAY(),"Overdue","Open")))</f>
        <v/>
      </c>
      <c r="AB450" s="2"/>
    </row>
    <row r="451" spans="1:28" x14ac:dyDescent="0.3">
      <c r="A451" s="2" t="str">
        <f t="shared" si="28"/>
        <v/>
      </c>
      <c r="B451" s="2"/>
      <c r="C451" s="17"/>
      <c r="D451" s="2" t="str">
        <f t="shared" si="29"/>
        <v/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 t="str">
        <f t="shared" si="30"/>
        <v/>
      </c>
      <c r="V451" s="2"/>
      <c r="W451" s="2"/>
      <c r="X451" s="2"/>
      <c r="Y451" s="17"/>
      <c r="Z451" s="17"/>
      <c r="AA451" s="2" t="str">
        <f t="shared" ca="1" si="31"/>
        <v/>
      </c>
      <c r="AB451" s="2"/>
    </row>
    <row r="452" spans="1:28" x14ac:dyDescent="0.3">
      <c r="A452" s="2" t="str">
        <f t="shared" si="28"/>
        <v/>
      </c>
      <c r="B452" s="2"/>
      <c r="C452" s="17"/>
      <c r="D452" s="2" t="str">
        <f t="shared" si="29"/>
        <v/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 t="str">
        <f t="shared" si="30"/>
        <v/>
      </c>
      <c r="V452" s="2"/>
      <c r="W452" s="2"/>
      <c r="X452" s="2"/>
      <c r="Y452" s="17"/>
      <c r="Z452" s="17"/>
      <c r="AA452" s="2" t="str">
        <f t="shared" ca="1" si="31"/>
        <v/>
      </c>
      <c r="AB452" s="2"/>
    </row>
    <row r="453" spans="1:28" x14ac:dyDescent="0.3">
      <c r="A453" s="2" t="str">
        <f t="shared" si="28"/>
        <v/>
      </c>
      <c r="B453" s="2"/>
      <c r="C453" s="17"/>
      <c r="D453" s="2" t="str">
        <f t="shared" si="29"/>
        <v/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 t="str">
        <f t="shared" si="30"/>
        <v/>
      </c>
      <c r="V453" s="2"/>
      <c r="W453" s="2"/>
      <c r="X453" s="2"/>
      <c r="Y453" s="17"/>
      <c r="Z453" s="17"/>
      <c r="AA453" s="2" t="str">
        <f t="shared" ca="1" si="31"/>
        <v/>
      </c>
      <c r="AB453" s="2"/>
    </row>
    <row r="454" spans="1:28" x14ac:dyDescent="0.3">
      <c r="A454" s="2" t="str">
        <f t="shared" si="28"/>
        <v/>
      </c>
      <c r="B454" s="2"/>
      <c r="C454" s="17"/>
      <c r="D454" s="2" t="str">
        <f t="shared" si="29"/>
        <v/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 t="str">
        <f t="shared" si="30"/>
        <v/>
      </c>
      <c r="V454" s="2"/>
      <c r="W454" s="2"/>
      <c r="X454" s="2"/>
      <c r="Y454" s="17"/>
      <c r="Z454" s="17"/>
      <c r="AA454" s="2" t="str">
        <f t="shared" ca="1" si="31"/>
        <v/>
      </c>
      <c r="AB454" s="2"/>
    </row>
    <row r="455" spans="1:28" x14ac:dyDescent="0.3">
      <c r="A455" s="2" t="str">
        <f t="shared" si="28"/>
        <v/>
      </c>
      <c r="B455" s="2"/>
      <c r="C455" s="17"/>
      <c r="D455" s="2" t="str">
        <f t="shared" si="29"/>
        <v/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 t="str">
        <f t="shared" si="30"/>
        <v/>
      </c>
      <c r="V455" s="2"/>
      <c r="W455" s="2"/>
      <c r="X455" s="2"/>
      <c r="Y455" s="17"/>
      <c r="Z455" s="17"/>
      <c r="AA455" s="2" t="str">
        <f t="shared" ca="1" si="31"/>
        <v/>
      </c>
      <c r="AB455" s="2"/>
    </row>
    <row r="456" spans="1:28" x14ac:dyDescent="0.3">
      <c r="A456" s="2" t="str">
        <f t="shared" si="28"/>
        <v/>
      </c>
      <c r="B456" s="2"/>
      <c r="C456" s="17"/>
      <c r="D456" s="2" t="str">
        <f t="shared" si="29"/>
        <v/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str">
        <f t="shared" si="30"/>
        <v/>
      </c>
      <c r="V456" s="2"/>
      <c r="W456" s="2"/>
      <c r="X456" s="2"/>
      <c r="Y456" s="17"/>
      <c r="Z456" s="17"/>
      <c r="AA456" s="2" t="str">
        <f t="shared" ca="1" si="31"/>
        <v/>
      </c>
      <c r="AB456" s="2"/>
    </row>
    <row r="457" spans="1:28" x14ac:dyDescent="0.3">
      <c r="A457" s="2" t="str">
        <f t="shared" si="28"/>
        <v/>
      </c>
      <c r="B457" s="2"/>
      <c r="C457" s="17"/>
      <c r="D457" s="2" t="str">
        <f t="shared" si="29"/>
        <v/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 t="str">
        <f t="shared" si="30"/>
        <v/>
      </c>
      <c r="V457" s="2"/>
      <c r="W457" s="2"/>
      <c r="X457" s="2"/>
      <c r="Y457" s="17"/>
      <c r="Z457" s="17"/>
      <c r="AA457" s="2" t="str">
        <f t="shared" ca="1" si="31"/>
        <v/>
      </c>
      <c r="AB457" s="2"/>
    </row>
    <row r="458" spans="1:28" x14ac:dyDescent="0.3">
      <c r="A458" s="2" t="str">
        <f t="shared" si="28"/>
        <v/>
      </c>
      <c r="B458" s="2"/>
      <c r="C458" s="17"/>
      <c r="D458" s="2" t="str">
        <f t="shared" si="29"/>
        <v/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 t="str">
        <f t="shared" si="30"/>
        <v/>
      </c>
      <c r="V458" s="2"/>
      <c r="W458" s="2"/>
      <c r="X458" s="2"/>
      <c r="Y458" s="17"/>
      <c r="Z458" s="17"/>
      <c r="AA458" s="2" t="str">
        <f t="shared" ca="1" si="31"/>
        <v/>
      </c>
      <c r="AB458" s="2"/>
    </row>
    <row r="459" spans="1:28" x14ac:dyDescent="0.3">
      <c r="A459" s="2" t="str">
        <f t="shared" si="28"/>
        <v/>
      </c>
      <c r="B459" s="2"/>
      <c r="C459" s="17"/>
      <c r="D459" s="2" t="str">
        <f t="shared" si="29"/>
        <v/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 t="str">
        <f t="shared" si="30"/>
        <v/>
      </c>
      <c r="V459" s="2"/>
      <c r="W459" s="2"/>
      <c r="X459" s="2"/>
      <c r="Y459" s="17"/>
      <c r="Z459" s="17"/>
      <c r="AA459" s="2" t="str">
        <f t="shared" ca="1" si="31"/>
        <v/>
      </c>
      <c r="AB459" s="2"/>
    </row>
    <row r="460" spans="1:28" x14ac:dyDescent="0.3">
      <c r="A460" s="2" t="str">
        <f t="shared" si="28"/>
        <v/>
      </c>
      <c r="B460" s="2"/>
      <c r="C460" s="17"/>
      <c r="D460" s="2" t="str">
        <f t="shared" si="29"/>
        <v/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 t="str">
        <f t="shared" si="30"/>
        <v/>
      </c>
      <c r="V460" s="2"/>
      <c r="W460" s="2"/>
      <c r="X460" s="2"/>
      <c r="Y460" s="17"/>
      <c r="Z460" s="17"/>
      <c r="AA460" s="2" t="str">
        <f t="shared" ca="1" si="31"/>
        <v/>
      </c>
      <c r="AB460" s="2"/>
    </row>
    <row r="461" spans="1:28" x14ac:dyDescent="0.3">
      <c r="A461" s="2" t="str">
        <f t="shared" si="28"/>
        <v/>
      </c>
      <c r="B461" s="2"/>
      <c r="C461" s="17"/>
      <c r="D461" s="2" t="str">
        <f t="shared" si="29"/>
        <v/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 t="str">
        <f t="shared" si="30"/>
        <v/>
      </c>
      <c r="V461" s="2"/>
      <c r="W461" s="2"/>
      <c r="X461" s="2"/>
      <c r="Y461" s="17"/>
      <c r="Z461" s="17"/>
      <c r="AA461" s="2" t="str">
        <f t="shared" ca="1" si="31"/>
        <v/>
      </c>
      <c r="AB461" s="2"/>
    </row>
    <row r="462" spans="1:28" x14ac:dyDescent="0.3">
      <c r="A462" s="2" t="str">
        <f t="shared" si="28"/>
        <v/>
      </c>
      <c r="B462" s="2"/>
      <c r="C462" s="17"/>
      <c r="D462" s="2" t="str">
        <f t="shared" si="29"/>
        <v/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 t="str">
        <f t="shared" si="30"/>
        <v/>
      </c>
      <c r="V462" s="2"/>
      <c r="W462" s="2"/>
      <c r="X462" s="2"/>
      <c r="Y462" s="17"/>
      <c r="Z462" s="17"/>
      <c r="AA462" s="2" t="str">
        <f t="shared" ca="1" si="31"/>
        <v/>
      </c>
      <c r="AB462" s="2"/>
    </row>
    <row r="463" spans="1:28" x14ac:dyDescent="0.3">
      <c r="A463" s="2" t="str">
        <f t="shared" si="28"/>
        <v/>
      </c>
      <c r="B463" s="2"/>
      <c r="C463" s="17"/>
      <c r="D463" s="2" t="str">
        <f t="shared" si="29"/>
        <v/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 t="str">
        <f t="shared" si="30"/>
        <v/>
      </c>
      <c r="V463" s="2"/>
      <c r="W463" s="2"/>
      <c r="X463" s="2"/>
      <c r="Y463" s="17"/>
      <c r="Z463" s="17"/>
      <c r="AA463" s="2" t="str">
        <f t="shared" ca="1" si="31"/>
        <v/>
      </c>
      <c r="AB463" s="2"/>
    </row>
    <row r="464" spans="1:28" x14ac:dyDescent="0.3">
      <c r="A464" s="2" t="str">
        <f t="shared" si="28"/>
        <v/>
      </c>
      <c r="B464" s="2"/>
      <c r="C464" s="17"/>
      <c r="D464" s="2" t="str">
        <f t="shared" si="29"/>
        <v/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tr">
        <f t="shared" si="30"/>
        <v/>
      </c>
      <c r="V464" s="2"/>
      <c r="W464" s="2"/>
      <c r="X464" s="2"/>
      <c r="Y464" s="17"/>
      <c r="Z464" s="17"/>
      <c r="AA464" s="2" t="str">
        <f t="shared" ca="1" si="31"/>
        <v/>
      </c>
      <c r="AB464" s="2"/>
    </row>
    <row r="465" spans="1:28" x14ac:dyDescent="0.3">
      <c r="A465" s="2" t="str">
        <f t="shared" si="28"/>
        <v/>
      </c>
      <c r="B465" s="2"/>
      <c r="C465" s="17"/>
      <c r="D465" s="2" t="str">
        <f t="shared" si="29"/>
        <v/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 t="str">
        <f t="shared" si="30"/>
        <v/>
      </c>
      <c r="V465" s="2"/>
      <c r="W465" s="2"/>
      <c r="X465" s="2"/>
      <c r="Y465" s="17"/>
      <c r="Z465" s="17"/>
      <c r="AA465" s="2" t="str">
        <f t="shared" ca="1" si="31"/>
        <v/>
      </c>
      <c r="AB465" s="2"/>
    </row>
    <row r="466" spans="1:28" x14ac:dyDescent="0.3">
      <c r="A466" s="2" t="str">
        <f t="shared" si="28"/>
        <v/>
      </c>
      <c r="B466" s="2"/>
      <c r="C466" s="17"/>
      <c r="D466" s="2" t="str">
        <f t="shared" si="29"/>
        <v/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 t="str">
        <f t="shared" si="30"/>
        <v/>
      </c>
      <c r="V466" s="2"/>
      <c r="W466" s="2"/>
      <c r="X466" s="2"/>
      <c r="Y466" s="17"/>
      <c r="Z466" s="17"/>
      <c r="AA466" s="2" t="str">
        <f t="shared" ca="1" si="31"/>
        <v/>
      </c>
      <c r="AB466" s="2"/>
    </row>
    <row r="467" spans="1:28" x14ac:dyDescent="0.3">
      <c r="A467" s="2" t="str">
        <f t="shared" si="28"/>
        <v/>
      </c>
      <c r="B467" s="2"/>
      <c r="C467" s="17"/>
      <c r="D467" s="2" t="str">
        <f t="shared" si="29"/>
        <v/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 t="str">
        <f t="shared" si="30"/>
        <v/>
      </c>
      <c r="V467" s="2"/>
      <c r="W467" s="2"/>
      <c r="X467" s="2"/>
      <c r="Y467" s="17"/>
      <c r="Z467" s="17"/>
      <c r="AA467" s="2" t="str">
        <f t="shared" ca="1" si="31"/>
        <v/>
      </c>
      <c r="AB467" s="2"/>
    </row>
    <row r="468" spans="1:28" x14ac:dyDescent="0.3">
      <c r="A468" s="2" t="str">
        <f t="shared" si="28"/>
        <v/>
      </c>
      <c r="B468" s="2"/>
      <c r="C468" s="17"/>
      <c r="D468" s="2" t="str">
        <f t="shared" si="29"/>
        <v/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 t="str">
        <f t="shared" si="30"/>
        <v/>
      </c>
      <c r="V468" s="2"/>
      <c r="W468" s="2"/>
      <c r="X468" s="2"/>
      <c r="Y468" s="17"/>
      <c r="Z468" s="17"/>
      <c r="AA468" s="2" t="str">
        <f t="shared" ca="1" si="31"/>
        <v/>
      </c>
      <c r="AB468" s="2"/>
    </row>
    <row r="469" spans="1:28" x14ac:dyDescent="0.3">
      <c r="A469" s="2" t="str">
        <f t="shared" si="28"/>
        <v/>
      </c>
      <c r="B469" s="2"/>
      <c r="C469" s="17"/>
      <c r="D469" s="2" t="str">
        <f t="shared" si="29"/>
        <v/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 t="str">
        <f t="shared" si="30"/>
        <v/>
      </c>
      <c r="V469" s="2"/>
      <c r="W469" s="2"/>
      <c r="X469" s="2"/>
      <c r="Y469" s="17"/>
      <c r="Z469" s="17"/>
      <c r="AA469" s="2" t="str">
        <f t="shared" ca="1" si="31"/>
        <v/>
      </c>
      <c r="AB469" s="2"/>
    </row>
    <row r="470" spans="1:28" x14ac:dyDescent="0.3">
      <c r="A470" s="2" t="str">
        <f t="shared" si="28"/>
        <v/>
      </c>
      <c r="B470" s="2"/>
      <c r="C470" s="17"/>
      <c r="D470" s="2" t="str">
        <f t="shared" si="29"/>
        <v/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 t="str">
        <f t="shared" si="30"/>
        <v/>
      </c>
      <c r="V470" s="2"/>
      <c r="W470" s="2"/>
      <c r="X470" s="2"/>
      <c r="Y470" s="17"/>
      <c r="Z470" s="17"/>
      <c r="AA470" s="2" t="str">
        <f t="shared" ca="1" si="31"/>
        <v/>
      </c>
      <c r="AB470" s="2"/>
    </row>
    <row r="471" spans="1:28" x14ac:dyDescent="0.3">
      <c r="A471" s="2" t="str">
        <f t="shared" si="28"/>
        <v/>
      </c>
      <c r="B471" s="2"/>
      <c r="C471" s="17"/>
      <c r="D471" s="2" t="str">
        <f t="shared" si="29"/>
        <v/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 t="str">
        <f t="shared" si="30"/>
        <v/>
      </c>
      <c r="V471" s="2"/>
      <c r="W471" s="2"/>
      <c r="X471" s="2"/>
      <c r="Y471" s="17"/>
      <c r="Z471" s="17"/>
      <c r="AA471" s="2" t="str">
        <f t="shared" ca="1" si="31"/>
        <v/>
      </c>
      <c r="AB471" s="2"/>
    </row>
    <row r="472" spans="1:28" x14ac:dyDescent="0.3">
      <c r="A472" s="2" t="str">
        <f t="shared" si="28"/>
        <v/>
      </c>
      <c r="B472" s="2"/>
      <c r="C472" s="17"/>
      <c r="D472" s="2" t="str">
        <f t="shared" si="29"/>
        <v/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 t="str">
        <f t="shared" si="30"/>
        <v/>
      </c>
      <c r="V472" s="2"/>
      <c r="W472" s="2"/>
      <c r="X472" s="2"/>
      <c r="Y472" s="17"/>
      <c r="Z472" s="17"/>
      <c r="AA472" s="2" t="str">
        <f t="shared" ca="1" si="31"/>
        <v/>
      </c>
      <c r="AB472" s="2"/>
    </row>
    <row r="473" spans="1:28" x14ac:dyDescent="0.3">
      <c r="A473" s="2" t="str">
        <f t="shared" si="28"/>
        <v/>
      </c>
      <c r="B473" s="2"/>
      <c r="C473" s="17"/>
      <c r="D473" s="2" t="str">
        <f t="shared" si="29"/>
        <v/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 t="str">
        <f t="shared" si="30"/>
        <v/>
      </c>
      <c r="V473" s="2"/>
      <c r="W473" s="2"/>
      <c r="X473" s="2"/>
      <c r="Y473" s="17"/>
      <c r="Z473" s="17"/>
      <c r="AA473" s="2" t="str">
        <f t="shared" ca="1" si="31"/>
        <v/>
      </c>
      <c r="AB473" s="2"/>
    </row>
    <row r="474" spans="1:28" x14ac:dyDescent="0.3">
      <c r="A474" s="2" t="str">
        <f t="shared" si="28"/>
        <v/>
      </c>
      <c r="B474" s="2"/>
      <c r="C474" s="17"/>
      <c r="D474" s="2" t="str">
        <f t="shared" si="29"/>
        <v/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 t="str">
        <f t="shared" si="30"/>
        <v/>
      </c>
      <c r="V474" s="2"/>
      <c r="W474" s="2"/>
      <c r="X474" s="2"/>
      <c r="Y474" s="17"/>
      <c r="Z474" s="17"/>
      <c r="AA474" s="2" t="str">
        <f t="shared" ca="1" si="31"/>
        <v/>
      </c>
      <c r="AB474" s="2"/>
    </row>
    <row r="475" spans="1:28" x14ac:dyDescent="0.3">
      <c r="A475" s="2" t="str">
        <f t="shared" si="28"/>
        <v/>
      </c>
      <c r="B475" s="2"/>
      <c r="C475" s="17"/>
      <c r="D475" s="2" t="str">
        <f t="shared" si="29"/>
        <v/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 t="str">
        <f t="shared" si="30"/>
        <v/>
      </c>
      <c r="V475" s="2"/>
      <c r="W475" s="2"/>
      <c r="X475" s="2"/>
      <c r="Y475" s="17"/>
      <c r="Z475" s="17"/>
      <c r="AA475" s="2" t="str">
        <f t="shared" ca="1" si="31"/>
        <v/>
      </c>
      <c r="AB475" s="2"/>
    </row>
    <row r="476" spans="1:28" x14ac:dyDescent="0.3">
      <c r="A476" s="2" t="str">
        <f t="shared" si="28"/>
        <v/>
      </c>
      <c r="B476" s="2"/>
      <c r="C476" s="17"/>
      <c r="D476" s="2" t="str">
        <f t="shared" si="29"/>
        <v/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 t="str">
        <f t="shared" si="30"/>
        <v/>
      </c>
      <c r="V476" s="2"/>
      <c r="W476" s="2"/>
      <c r="X476" s="2"/>
      <c r="Y476" s="17"/>
      <c r="Z476" s="17"/>
      <c r="AA476" s="2" t="str">
        <f t="shared" ca="1" si="31"/>
        <v/>
      </c>
      <c r="AB476" s="2"/>
    </row>
    <row r="477" spans="1:28" x14ac:dyDescent="0.3">
      <c r="A477" s="2" t="str">
        <f t="shared" si="28"/>
        <v/>
      </c>
      <c r="B477" s="2"/>
      <c r="C477" s="17"/>
      <c r="D477" s="2" t="str">
        <f t="shared" si="29"/>
        <v/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 t="str">
        <f t="shared" si="30"/>
        <v/>
      </c>
      <c r="V477" s="2"/>
      <c r="W477" s="2"/>
      <c r="X477" s="2"/>
      <c r="Y477" s="17"/>
      <c r="Z477" s="17"/>
      <c r="AA477" s="2" t="str">
        <f t="shared" ca="1" si="31"/>
        <v/>
      </c>
      <c r="AB477" s="2"/>
    </row>
    <row r="478" spans="1:28" x14ac:dyDescent="0.3">
      <c r="A478" s="2" t="str">
        <f t="shared" si="28"/>
        <v/>
      </c>
      <c r="B478" s="2"/>
      <c r="C478" s="17"/>
      <c r="D478" s="2" t="str">
        <f t="shared" si="29"/>
        <v/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 t="str">
        <f t="shared" si="30"/>
        <v/>
      </c>
      <c r="V478" s="2"/>
      <c r="W478" s="2"/>
      <c r="X478" s="2"/>
      <c r="Y478" s="17"/>
      <c r="Z478" s="17"/>
      <c r="AA478" s="2" t="str">
        <f t="shared" ca="1" si="31"/>
        <v/>
      </c>
      <c r="AB478" s="2"/>
    </row>
    <row r="479" spans="1:28" x14ac:dyDescent="0.3">
      <c r="A479" s="2" t="str">
        <f t="shared" si="28"/>
        <v/>
      </c>
      <c r="B479" s="2"/>
      <c r="C479" s="17"/>
      <c r="D479" s="2" t="str">
        <f t="shared" si="29"/>
        <v/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 t="str">
        <f t="shared" si="30"/>
        <v/>
      </c>
      <c r="V479" s="2"/>
      <c r="W479" s="2"/>
      <c r="X479" s="2"/>
      <c r="Y479" s="17"/>
      <c r="Z479" s="17"/>
      <c r="AA479" s="2" t="str">
        <f t="shared" ca="1" si="31"/>
        <v/>
      </c>
      <c r="AB479" s="2"/>
    </row>
    <row r="480" spans="1:28" x14ac:dyDescent="0.3">
      <c r="A480" s="2">
        <v>1</v>
      </c>
      <c r="B480" s="2"/>
      <c r="C480" s="17"/>
      <c r="D480" s="2" t="str">
        <f t="shared" si="29"/>
        <v/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 t="str">
        <f t="shared" si="30"/>
        <v/>
      </c>
      <c r="V480" s="2"/>
      <c r="W480" s="2"/>
      <c r="X480" s="2"/>
      <c r="Y480" s="17"/>
      <c r="Z480" s="17"/>
      <c r="AA480" s="2" t="str">
        <f t="shared" ca="1" si="31"/>
        <v/>
      </c>
      <c r="AB480" s="2"/>
    </row>
    <row r="481" spans="1:28" x14ac:dyDescent="0.3">
      <c r="A481" s="2" t="str">
        <f t="shared" si="28"/>
        <v/>
      </c>
      <c r="B481" s="2"/>
      <c r="C481" s="17"/>
      <c r="D481" s="2" t="str">
        <f t="shared" si="29"/>
        <v/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 t="str">
        <f t="shared" si="30"/>
        <v/>
      </c>
      <c r="V481" s="2"/>
      <c r="W481" s="2"/>
      <c r="X481" s="2"/>
      <c r="Y481" s="17"/>
      <c r="Z481" s="17"/>
      <c r="AA481" s="2" t="str">
        <f t="shared" ca="1" si="31"/>
        <v/>
      </c>
      <c r="AB481" s="2"/>
    </row>
    <row r="482" spans="1:28" x14ac:dyDescent="0.3">
      <c r="A482" s="2" t="str">
        <f t="shared" si="28"/>
        <v/>
      </c>
      <c r="B482" s="2"/>
      <c r="C482" s="17"/>
      <c r="D482" s="2" t="str">
        <f t="shared" si="29"/>
        <v/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 t="str">
        <f t="shared" si="30"/>
        <v/>
      </c>
      <c r="V482" s="2"/>
      <c r="W482" s="2"/>
      <c r="X482" s="2"/>
      <c r="Y482" s="17"/>
      <c r="Z482" s="17"/>
      <c r="AA482" s="2" t="str">
        <f t="shared" ca="1" si="31"/>
        <v/>
      </c>
      <c r="AB482" s="2"/>
    </row>
    <row r="483" spans="1:28" x14ac:dyDescent="0.3">
      <c r="A483" s="2" t="str">
        <f t="shared" si="28"/>
        <v/>
      </c>
      <c r="B483" s="2"/>
      <c r="C483" s="17"/>
      <c r="D483" s="2" t="str">
        <f t="shared" si="29"/>
        <v/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 t="str">
        <f t="shared" si="30"/>
        <v/>
      </c>
      <c r="V483" s="2"/>
      <c r="W483" s="2"/>
      <c r="X483" s="2"/>
      <c r="Y483" s="17"/>
      <c r="Z483" s="17"/>
      <c r="AA483" s="2" t="str">
        <f t="shared" ca="1" si="31"/>
        <v/>
      </c>
      <c r="AB483" s="2"/>
    </row>
    <row r="484" spans="1:28" x14ac:dyDescent="0.3">
      <c r="A484" s="2" t="str">
        <f t="shared" si="28"/>
        <v/>
      </c>
      <c r="B484" s="2"/>
      <c r="C484" s="17"/>
      <c r="D484" s="2" t="str">
        <f t="shared" si="29"/>
        <v/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 t="str">
        <f t="shared" si="30"/>
        <v/>
      </c>
      <c r="V484" s="2"/>
      <c r="W484" s="2"/>
      <c r="X484" s="2"/>
      <c r="Y484" s="17"/>
      <c r="Z484" s="17"/>
      <c r="AA484" s="2" t="str">
        <f t="shared" ca="1" si="31"/>
        <v/>
      </c>
      <c r="AB484" s="2"/>
    </row>
    <row r="485" spans="1:28" x14ac:dyDescent="0.3">
      <c r="A485" s="2" t="str">
        <f t="shared" si="28"/>
        <v/>
      </c>
      <c r="B485" s="2"/>
      <c r="C485" s="17"/>
      <c r="D485" s="2" t="str">
        <f t="shared" si="29"/>
        <v/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 t="str">
        <f t="shared" si="30"/>
        <v/>
      </c>
      <c r="V485" s="2"/>
      <c r="W485" s="2"/>
      <c r="X485" s="2"/>
      <c r="Y485" s="17"/>
      <c r="Z485" s="17"/>
      <c r="AA485" s="2" t="str">
        <f t="shared" ca="1" si="31"/>
        <v/>
      </c>
      <c r="AB485" s="2"/>
    </row>
    <row r="486" spans="1:28" x14ac:dyDescent="0.3">
      <c r="A486" s="2" t="str">
        <f t="shared" si="28"/>
        <v/>
      </c>
      <c r="B486" s="2"/>
      <c r="C486" s="17"/>
      <c r="D486" s="2" t="str">
        <f t="shared" si="29"/>
        <v/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 t="str">
        <f t="shared" si="30"/>
        <v/>
      </c>
      <c r="V486" s="2"/>
      <c r="W486" s="2"/>
      <c r="X486" s="2"/>
      <c r="Y486" s="17"/>
      <c r="Z486" s="17"/>
      <c r="AA486" s="2" t="str">
        <f t="shared" ca="1" si="31"/>
        <v/>
      </c>
      <c r="AB486" s="2"/>
    </row>
    <row r="487" spans="1:28" x14ac:dyDescent="0.3">
      <c r="A487" s="2" t="str">
        <f t="shared" si="28"/>
        <v/>
      </c>
      <c r="B487" s="2"/>
      <c r="C487" s="17"/>
      <c r="D487" s="2" t="str">
        <f t="shared" si="29"/>
        <v/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 t="str">
        <f t="shared" si="30"/>
        <v/>
      </c>
      <c r="V487" s="2"/>
      <c r="W487" s="2"/>
      <c r="X487" s="2"/>
      <c r="Y487" s="17"/>
      <c r="Z487" s="17"/>
      <c r="AA487" s="2" t="str">
        <f t="shared" ca="1" si="31"/>
        <v/>
      </c>
      <c r="AB487" s="2"/>
    </row>
    <row r="488" spans="1:28" x14ac:dyDescent="0.3">
      <c r="A488" s="2" t="str">
        <f t="shared" si="28"/>
        <v/>
      </c>
      <c r="B488" s="2"/>
      <c r="C488" s="17"/>
      <c r="D488" s="2" t="str">
        <f t="shared" si="29"/>
        <v/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 t="str">
        <f t="shared" si="30"/>
        <v/>
      </c>
      <c r="V488" s="2"/>
      <c r="W488" s="2"/>
      <c r="X488" s="2"/>
      <c r="Y488" s="17"/>
      <c r="Z488" s="17"/>
      <c r="AA488" s="2" t="str">
        <f t="shared" ca="1" si="31"/>
        <v/>
      </c>
      <c r="AB488" s="2"/>
    </row>
    <row r="489" spans="1:28" x14ac:dyDescent="0.3">
      <c r="A489" s="2" t="str">
        <f t="shared" si="28"/>
        <v/>
      </c>
      <c r="B489" s="2"/>
      <c r="C489" s="17"/>
      <c r="D489" s="2" t="str">
        <f t="shared" si="29"/>
        <v/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 t="str">
        <f t="shared" si="30"/>
        <v/>
      </c>
      <c r="V489" s="2"/>
      <c r="W489" s="2"/>
      <c r="X489" s="2"/>
      <c r="Y489" s="17"/>
      <c r="Z489" s="17"/>
      <c r="AA489" s="2" t="str">
        <f t="shared" ca="1" si="31"/>
        <v/>
      </c>
      <c r="AB489" s="2"/>
    </row>
    <row r="490" spans="1:28" x14ac:dyDescent="0.3">
      <c r="A490" s="2" t="str">
        <f t="shared" si="28"/>
        <v/>
      </c>
      <c r="B490" s="2"/>
      <c r="C490" s="17"/>
      <c r="D490" s="2" t="str">
        <f t="shared" si="29"/>
        <v/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 t="str">
        <f t="shared" si="30"/>
        <v/>
      </c>
      <c r="V490" s="2"/>
      <c r="W490" s="2"/>
      <c r="X490" s="2"/>
      <c r="Y490" s="17"/>
      <c r="Z490" s="17"/>
      <c r="AA490" s="2" t="str">
        <f t="shared" ca="1" si="31"/>
        <v/>
      </c>
      <c r="AB490" s="2"/>
    </row>
    <row r="491" spans="1:28" x14ac:dyDescent="0.3">
      <c r="A491" s="2" t="str">
        <f t="shared" si="28"/>
        <v/>
      </c>
      <c r="B491" s="2"/>
      <c r="C491" s="17"/>
      <c r="D491" s="2" t="str">
        <f t="shared" si="29"/>
        <v/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 t="str">
        <f t="shared" si="30"/>
        <v/>
      </c>
      <c r="V491" s="2"/>
      <c r="W491" s="2"/>
      <c r="X491" s="2"/>
      <c r="Y491" s="17"/>
      <c r="Z491" s="17"/>
      <c r="AA491" s="2" t="str">
        <f t="shared" ca="1" si="31"/>
        <v/>
      </c>
      <c r="AB491" s="2"/>
    </row>
    <row r="492" spans="1:28" x14ac:dyDescent="0.3">
      <c r="A492" s="2" t="str">
        <f t="shared" si="28"/>
        <v/>
      </c>
      <c r="B492" s="2"/>
      <c r="C492" s="17"/>
      <c r="D492" s="2" t="str">
        <f t="shared" si="29"/>
        <v/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 t="str">
        <f t="shared" si="30"/>
        <v/>
      </c>
      <c r="V492" s="2"/>
      <c r="W492" s="2"/>
      <c r="X492" s="2"/>
      <c r="Y492" s="17"/>
      <c r="Z492" s="17"/>
      <c r="AA492" s="2" t="str">
        <f t="shared" ca="1" si="31"/>
        <v/>
      </c>
      <c r="AB492" s="2"/>
    </row>
    <row r="493" spans="1:28" x14ac:dyDescent="0.3">
      <c r="A493" s="2" t="str">
        <f t="shared" si="28"/>
        <v/>
      </c>
      <c r="B493" s="2"/>
      <c r="C493" s="17"/>
      <c r="D493" s="2" t="str">
        <f t="shared" si="29"/>
        <v/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 t="str">
        <f t="shared" si="30"/>
        <v/>
      </c>
      <c r="V493" s="2"/>
      <c r="W493" s="2"/>
      <c r="X493" s="2"/>
      <c r="Y493" s="17"/>
      <c r="Z493" s="17"/>
      <c r="AA493" s="2" t="str">
        <f t="shared" ca="1" si="31"/>
        <v/>
      </c>
      <c r="AB493" s="2"/>
    </row>
    <row r="494" spans="1:28" x14ac:dyDescent="0.3">
      <c r="A494" s="2" t="str">
        <f t="shared" si="28"/>
        <v/>
      </c>
      <c r="B494" s="2"/>
      <c r="C494" s="17"/>
      <c r="D494" s="2" t="str">
        <f t="shared" si="29"/>
        <v/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 t="str">
        <f t="shared" si="30"/>
        <v/>
      </c>
      <c r="V494" s="2"/>
      <c r="W494" s="2"/>
      <c r="X494" s="2"/>
      <c r="Y494" s="17"/>
      <c r="Z494" s="17"/>
      <c r="AA494" s="2" t="str">
        <f t="shared" ca="1" si="31"/>
        <v/>
      </c>
      <c r="AB494" s="2"/>
    </row>
    <row r="495" spans="1:28" x14ac:dyDescent="0.3">
      <c r="A495" s="2" t="str">
        <f t="shared" si="28"/>
        <v/>
      </c>
      <c r="B495" s="2"/>
      <c r="C495" s="17"/>
      <c r="D495" s="2" t="str">
        <f t="shared" si="29"/>
        <v/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 t="str">
        <f t="shared" si="30"/>
        <v/>
      </c>
      <c r="V495" s="2"/>
      <c r="W495" s="2"/>
      <c r="X495" s="2"/>
      <c r="Y495" s="17"/>
      <c r="Z495" s="17"/>
      <c r="AA495" s="2" t="str">
        <f t="shared" ca="1" si="31"/>
        <v/>
      </c>
      <c r="AB495" s="2"/>
    </row>
    <row r="496" spans="1:28" x14ac:dyDescent="0.3">
      <c r="A496" s="2" t="str">
        <f t="shared" si="28"/>
        <v/>
      </c>
      <c r="B496" s="2"/>
      <c r="C496" s="17"/>
      <c r="D496" s="2" t="str">
        <f t="shared" si="29"/>
        <v/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 t="str">
        <f t="shared" si="30"/>
        <v/>
      </c>
      <c r="V496" s="2"/>
      <c r="W496" s="2"/>
      <c r="X496" s="2"/>
      <c r="Y496" s="17"/>
      <c r="Z496" s="17"/>
      <c r="AA496" s="2" t="str">
        <f t="shared" ca="1" si="31"/>
        <v/>
      </c>
      <c r="AB496" s="2"/>
    </row>
    <row r="497" spans="1:28" x14ac:dyDescent="0.3">
      <c r="A497" s="2" t="str">
        <f t="shared" si="28"/>
        <v/>
      </c>
      <c r="B497" s="2"/>
      <c r="C497" s="17"/>
      <c r="D497" s="2" t="str">
        <f t="shared" si="29"/>
        <v/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 t="str">
        <f t="shared" si="30"/>
        <v/>
      </c>
      <c r="V497" s="2"/>
      <c r="W497" s="2"/>
      <c r="X497" s="2"/>
      <c r="Y497" s="17"/>
      <c r="Z497" s="17"/>
      <c r="AA497" s="2" t="str">
        <f t="shared" ca="1" si="31"/>
        <v/>
      </c>
      <c r="AB497" s="2"/>
    </row>
    <row r="498" spans="1:28" x14ac:dyDescent="0.3">
      <c r="A498" s="2" t="str">
        <f t="shared" si="28"/>
        <v/>
      </c>
      <c r="B498" s="2"/>
      <c r="C498" s="17"/>
      <c r="D498" s="2" t="str">
        <f t="shared" si="29"/>
        <v/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 t="str">
        <f t="shared" si="30"/>
        <v/>
      </c>
      <c r="V498" s="2"/>
      <c r="W498" s="2"/>
      <c r="X498" s="2"/>
      <c r="Y498" s="17"/>
      <c r="Z498" s="17"/>
      <c r="AA498" s="2" t="str">
        <f t="shared" ca="1" si="31"/>
        <v/>
      </c>
      <c r="AB498" s="2"/>
    </row>
    <row r="499" spans="1:28" x14ac:dyDescent="0.3">
      <c r="A499" s="2" t="str">
        <f t="shared" si="28"/>
        <v/>
      </c>
      <c r="B499" s="2"/>
      <c r="C499" s="17"/>
      <c r="D499" s="2" t="str">
        <f t="shared" si="29"/>
        <v/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 t="str">
        <f t="shared" si="30"/>
        <v/>
      </c>
      <c r="V499" s="2"/>
      <c r="W499" s="2"/>
      <c r="X499" s="2"/>
      <c r="Y499" s="17"/>
      <c r="Z499" s="17"/>
      <c r="AA499" s="2" t="str">
        <f t="shared" ca="1" si="31"/>
        <v/>
      </c>
      <c r="AB499" s="2"/>
    </row>
    <row r="500" spans="1:28" x14ac:dyDescent="0.3">
      <c r="A500" s="2" t="str">
        <f t="shared" si="28"/>
        <v/>
      </c>
      <c r="B500" s="2"/>
      <c r="C500" s="17"/>
      <c r="D500" s="2" t="str">
        <f t="shared" si="29"/>
        <v/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 t="str">
        <f t="shared" si="30"/>
        <v/>
      </c>
      <c r="V500" s="2"/>
      <c r="W500" s="2"/>
      <c r="X500" s="2"/>
      <c r="Y500" s="17"/>
      <c r="Z500" s="17"/>
      <c r="AA500" s="2" t="str">
        <f t="shared" ca="1" si="31"/>
        <v/>
      </c>
      <c r="AB500" s="2"/>
    </row>
    <row r="501" spans="1:28" x14ac:dyDescent="0.3">
      <c r="A501" s="2" t="str">
        <f t="shared" si="28"/>
        <v/>
      </c>
      <c r="B501" s="2"/>
      <c r="C501" s="17"/>
      <c r="D501" s="2" t="str">
        <f t="shared" si="29"/>
        <v/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 t="str">
        <f t="shared" si="30"/>
        <v/>
      </c>
      <c r="V501" s="2"/>
      <c r="W501" s="2"/>
      <c r="X501" s="2"/>
      <c r="Y501" s="17"/>
      <c r="Z501" s="17"/>
      <c r="AA501" s="2" t="str">
        <f t="shared" ca="1" si="31"/>
        <v/>
      </c>
      <c r="AB501" s="2"/>
    </row>
  </sheetData>
  <autoFilter ref="A1:AB501" xr:uid="{00000000-0009-0000-0000-000001000000}"/>
  <conditionalFormatting sqref="AA2:AA501">
    <cfRule type="cellIs" dxfId="1" priority="1" operator="equal">
      <formula>"Overdue"</formula>
    </cfRule>
    <cfRule type="cellIs" dxfId="0" priority="2" operator="equal">
      <formula>"Closed"</formula>
    </cfRule>
  </conditionalFormatting>
  <dataValidations count="3">
    <dataValidation type="list" allowBlank="1" sqref="L2:M501" xr:uid="{00000000-0002-0000-0100-000000000000}">
      <formula1>"Major,Minor,Near Miss,First Aid,LTI,Fatal"</formula1>
    </dataValidation>
    <dataValidation type="list" allowBlank="1" sqref="N2:R501" xr:uid="{00000000-0002-0000-0100-000002000000}">
      <formula1>"Y,N"</formula1>
    </dataValidation>
    <dataValidation type="list" allowBlank="1" sqref="J2:J501" xr:uid="{00000000-0002-0000-0100-000007000000}">
      <formula1>"Permanent,Contract,Temporary,Apprentice/Trainee"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showGridLines="0" topLeftCell="D1" workbookViewId="0">
      <pane ySplit="1" topLeftCell="A2" activePane="bottomLeft" state="frozen"/>
      <selection pane="bottomLeft" activeCell="N2" sqref="N2"/>
    </sheetView>
  </sheetViews>
  <sheetFormatPr defaultRowHeight="14.4" x14ac:dyDescent="0.3"/>
  <cols>
    <col min="1" max="1" width="14" customWidth="1"/>
    <col min="2" max="2" width="18" customWidth="1"/>
    <col min="3" max="4" width="14" customWidth="1"/>
    <col min="5" max="6" width="18" customWidth="1"/>
    <col min="7" max="8" width="14" customWidth="1"/>
    <col min="9" max="9" width="18" customWidth="1"/>
    <col min="10" max="10" width="16" customWidth="1"/>
    <col min="11" max="11" width="19" customWidth="1"/>
    <col min="12" max="12" width="14" customWidth="1"/>
    <col min="13" max="13" width="24" customWidth="1"/>
    <col min="14" max="14" width="16" customWidth="1"/>
    <col min="15" max="15" width="21" customWidth="1"/>
  </cols>
  <sheetData>
    <row r="1" spans="1:15" ht="28.8" x14ac:dyDescent="0.3">
      <c r="A1" s="7" t="s">
        <v>17</v>
      </c>
      <c r="B1" s="7" t="s">
        <v>3</v>
      </c>
      <c r="C1" s="7" t="s">
        <v>19</v>
      </c>
      <c r="D1" s="7" t="s">
        <v>5</v>
      </c>
      <c r="E1" s="7" t="s">
        <v>51</v>
      </c>
      <c r="F1" s="7" t="s">
        <v>52</v>
      </c>
      <c r="G1" s="7" t="s">
        <v>9</v>
      </c>
      <c r="H1" s="7" t="s">
        <v>10</v>
      </c>
      <c r="I1" s="7" t="s">
        <v>53</v>
      </c>
      <c r="J1" s="7" t="s">
        <v>6</v>
      </c>
      <c r="K1" s="7" t="s">
        <v>54</v>
      </c>
      <c r="L1" s="7" t="s">
        <v>8</v>
      </c>
      <c r="M1" s="7" t="s">
        <v>55</v>
      </c>
      <c r="N1" s="7" t="s">
        <v>13</v>
      </c>
      <c r="O1" s="7" t="s">
        <v>14</v>
      </c>
    </row>
    <row r="2" spans="1:15" x14ac:dyDescent="0.3">
      <c r="A2" s="2" t="s">
        <v>56</v>
      </c>
      <c r="B2" s="2">
        <f>COUNTIF('Accident Tracker'!$D$2:$D$501,A2)</f>
        <v>1</v>
      </c>
      <c r="C2" s="2">
        <f>COUNTIFS('Accident Tracker'!$D$2:$D$501,A2,'Accident Tracker'!$N$2:$N$501,"Y")</f>
        <v>1</v>
      </c>
      <c r="D2" s="2">
        <f>COUNTIFS('Accident Tracker'!$D$2:$D$501,A2,'Accident Tracker'!$O$2:$O$501,"Y")</f>
        <v>0</v>
      </c>
      <c r="E2" s="2">
        <f>COUNTIFS('Accident Tracker'!$D$2:$D$501,A2,'Accident Tracker'!$L$2:$L$501,"Major")</f>
        <v>0</v>
      </c>
      <c r="F2" s="2">
        <f>COUNTIFS('Accident Tracker'!$D$2:$D$501,A2,'Accident Tracker'!$L$2:$L$501,"Minor")</f>
        <v>1</v>
      </c>
      <c r="G2" s="2">
        <f>COUNTIFS('Accident Tracker'!$D$2:$D$501,A2,'Accident Tracker'!$R$2:$R$501,"Y")</f>
        <v>1</v>
      </c>
      <c r="H2" s="2">
        <f>COUNTIFS('Accident Tracker'!$D$2:$D$501,A2,'Accident Tracker'!$P$2:$P$501,"Y")</f>
        <v>1</v>
      </c>
      <c r="I2" s="2">
        <f>COUNTIFS('Accident Tracker'!$D$2:$D$501,A2,'Accident Tracker'!$Q$2:$Q$501,"Y")</f>
        <v>0</v>
      </c>
      <c r="J2" s="2">
        <f>SUMIF('Accident Tracker'!$D$2:$D$501,A2,'Accident Tracker'!$S$2:$S$501)</f>
        <v>20</v>
      </c>
      <c r="K2" s="2">
        <f>SUMIF('Accident Tracker'!$D$2:$D$501,A2,'Accident Tracker'!$T$2:$T$501)</f>
        <v>4000</v>
      </c>
      <c r="L2" s="2">
        <f t="shared" ref="L2:L13" si="0">IF(K2=0,0,C2*1000000/K2)</f>
        <v>250</v>
      </c>
      <c r="M2" s="2">
        <f>IFERROR(B2/Dashboard!$B$6*100,0)</f>
        <v>0</v>
      </c>
      <c r="N2" s="2">
        <f t="shared" ref="N2:N13" si="1">IF(K2=0,0,J2*1000000/K2)</f>
        <v>5000</v>
      </c>
      <c r="O2" s="3">
        <f t="shared" ref="O2:O13" si="2">IFERROR(C2/B2,0)</f>
        <v>1</v>
      </c>
    </row>
    <row r="3" spans="1:15" x14ac:dyDescent="0.3">
      <c r="A3" s="2" t="s">
        <v>57</v>
      </c>
      <c r="B3" s="2">
        <f>COUNTIF('Accident Tracker'!$D$2:$D$501,A3)</f>
        <v>0</v>
      </c>
      <c r="C3" s="2">
        <f>COUNTIFS('Accident Tracker'!$D$2:$D$501,A3,'Accident Tracker'!$N$2:$N$501,"Y")</f>
        <v>0</v>
      </c>
      <c r="D3" s="2">
        <f>COUNTIFS('Accident Tracker'!$D$2:$D$501,A3,'Accident Tracker'!$O$2:$O$501,"Y")</f>
        <v>0</v>
      </c>
      <c r="E3" s="2">
        <f>COUNTIFS('Accident Tracker'!$D$2:$D$501,A3,'Accident Tracker'!$L$2:$L$501,"Major")</f>
        <v>0</v>
      </c>
      <c r="F3" s="2">
        <f>COUNTIFS('Accident Tracker'!$D$2:$D$501,A3,'Accident Tracker'!$L$2:$L$501,"Minor")</f>
        <v>0</v>
      </c>
      <c r="G3" s="2">
        <f>COUNTIFS('Accident Tracker'!$D$2:$D$501,A3,'Accident Tracker'!$R$2:$R$501,"Y")</f>
        <v>0</v>
      </c>
      <c r="H3" s="2">
        <f>COUNTIFS('Accident Tracker'!$D$2:$D$501,A3,'Accident Tracker'!$P$2:$P$501,"Y")</f>
        <v>0</v>
      </c>
      <c r="I3" s="2">
        <f>COUNTIFS('Accident Tracker'!$D$2:$D$501,A3,'Accident Tracker'!$Q$2:$Q$501,"Y")</f>
        <v>0</v>
      </c>
      <c r="J3" s="2">
        <f>SUMIF('Accident Tracker'!$D$2:$D$501,A3,'Accident Tracker'!$S$2:$S$501)</f>
        <v>0</v>
      </c>
      <c r="K3" s="2">
        <f>SUMIF('Accident Tracker'!$D$2:$D$501,A3,'Accident Tracker'!$T$2:$T$501)</f>
        <v>0</v>
      </c>
      <c r="L3" s="2">
        <f t="shared" si="0"/>
        <v>0</v>
      </c>
      <c r="M3" s="2">
        <f>IFERROR(B3/Dashboard!$B$6*100,0)</f>
        <v>0</v>
      </c>
      <c r="N3" s="2">
        <f t="shared" si="1"/>
        <v>0</v>
      </c>
      <c r="O3" s="3">
        <f t="shared" si="2"/>
        <v>0</v>
      </c>
    </row>
    <row r="4" spans="1:15" x14ac:dyDescent="0.3">
      <c r="A4" s="2" t="s">
        <v>58</v>
      </c>
      <c r="B4" s="2">
        <f>COUNTIF('Accident Tracker'!$D$2:$D$501,A4)</f>
        <v>0</v>
      </c>
      <c r="C4" s="2">
        <f>COUNTIFS('Accident Tracker'!$D$2:$D$501,A4,'Accident Tracker'!$N$2:$N$501,"Y")</f>
        <v>0</v>
      </c>
      <c r="D4" s="2">
        <f>COUNTIFS('Accident Tracker'!$D$2:$D$501,A4,'Accident Tracker'!$O$2:$O$501,"Y")</f>
        <v>0</v>
      </c>
      <c r="E4" s="2">
        <f>COUNTIFS('Accident Tracker'!$D$2:$D$501,A4,'Accident Tracker'!$L$2:$L$501,"Major")</f>
        <v>0</v>
      </c>
      <c r="F4" s="2">
        <f>COUNTIFS('Accident Tracker'!$D$2:$D$501,A4,'Accident Tracker'!$L$2:$L$501,"Minor")</f>
        <v>0</v>
      </c>
      <c r="G4" s="2">
        <f>COUNTIFS('Accident Tracker'!$D$2:$D$501,A4,'Accident Tracker'!$R$2:$R$501,"Y")</f>
        <v>0</v>
      </c>
      <c r="H4" s="2">
        <f>COUNTIFS('Accident Tracker'!$D$2:$D$501,A4,'Accident Tracker'!$P$2:$P$501,"Y")</f>
        <v>0</v>
      </c>
      <c r="I4" s="2">
        <f>COUNTIFS('Accident Tracker'!$D$2:$D$501,A4,'Accident Tracker'!$Q$2:$Q$501,"Y")</f>
        <v>0</v>
      </c>
      <c r="J4" s="2">
        <f>SUMIF('Accident Tracker'!$D$2:$D$501,A4,'Accident Tracker'!$S$2:$S$501)</f>
        <v>0</v>
      </c>
      <c r="K4" s="2">
        <f>SUMIF('Accident Tracker'!$D$2:$D$501,A4,'Accident Tracker'!$T$2:$T$501)</f>
        <v>0</v>
      </c>
      <c r="L4" s="2">
        <f t="shared" si="0"/>
        <v>0</v>
      </c>
      <c r="M4" s="2">
        <f>IFERROR(B4/Dashboard!$B$6*100,0)</f>
        <v>0</v>
      </c>
      <c r="N4" s="2">
        <f t="shared" si="1"/>
        <v>0</v>
      </c>
      <c r="O4" s="3">
        <f t="shared" si="2"/>
        <v>0</v>
      </c>
    </row>
    <row r="5" spans="1:15" x14ac:dyDescent="0.3">
      <c r="A5" s="2" t="s">
        <v>59</v>
      </c>
      <c r="B5" s="2">
        <f>COUNTIF('Accident Tracker'!$D$2:$D$501,A5)</f>
        <v>0</v>
      </c>
      <c r="C5" s="2">
        <f>COUNTIFS('Accident Tracker'!$D$2:$D$501,A5,'Accident Tracker'!$N$2:$N$501,"Y")</f>
        <v>0</v>
      </c>
      <c r="D5" s="2">
        <f>COUNTIFS('Accident Tracker'!$D$2:$D$501,A5,'Accident Tracker'!$O$2:$O$501,"Y")</f>
        <v>0</v>
      </c>
      <c r="E5" s="2">
        <f>COUNTIFS('Accident Tracker'!$D$2:$D$501,A5,'Accident Tracker'!$L$2:$L$501,"Major")</f>
        <v>0</v>
      </c>
      <c r="F5" s="2">
        <f>COUNTIFS('Accident Tracker'!$D$2:$D$501,A5,'Accident Tracker'!$L$2:$L$501,"Minor")</f>
        <v>0</v>
      </c>
      <c r="G5" s="2">
        <f>COUNTIFS('Accident Tracker'!$D$2:$D$501,A5,'Accident Tracker'!$R$2:$R$501,"Y")</f>
        <v>0</v>
      </c>
      <c r="H5" s="2">
        <f>COUNTIFS('Accident Tracker'!$D$2:$D$501,A5,'Accident Tracker'!$P$2:$P$501,"Y")</f>
        <v>0</v>
      </c>
      <c r="I5" s="2">
        <f>COUNTIFS('Accident Tracker'!$D$2:$D$501,A5,'Accident Tracker'!$Q$2:$Q$501,"Y")</f>
        <v>0</v>
      </c>
      <c r="J5" s="2">
        <f>SUMIF('Accident Tracker'!$D$2:$D$501,A5,'Accident Tracker'!$S$2:$S$501)</f>
        <v>0</v>
      </c>
      <c r="K5" s="2">
        <f>SUMIF('Accident Tracker'!$D$2:$D$501,A5,'Accident Tracker'!$T$2:$T$501)</f>
        <v>0</v>
      </c>
      <c r="L5" s="2">
        <f t="shared" si="0"/>
        <v>0</v>
      </c>
      <c r="M5" s="2">
        <f>IFERROR(B5/Dashboard!$B$6*100,0)</f>
        <v>0</v>
      </c>
      <c r="N5" s="2">
        <f t="shared" si="1"/>
        <v>0</v>
      </c>
      <c r="O5" s="3">
        <f t="shared" si="2"/>
        <v>0</v>
      </c>
    </row>
    <row r="6" spans="1:15" x14ac:dyDescent="0.3">
      <c r="A6" s="2" t="s">
        <v>60</v>
      </c>
      <c r="B6" s="2">
        <f>COUNTIF('Accident Tracker'!$D$2:$D$501,A6)</f>
        <v>0</v>
      </c>
      <c r="C6" s="2">
        <f>COUNTIFS('Accident Tracker'!$D$2:$D$501,A6,'Accident Tracker'!$N$2:$N$501,"Y")</f>
        <v>0</v>
      </c>
      <c r="D6" s="2">
        <f>COUNTIFS('Accident Tracker'!$D$2:$D$501,A6,'Accident Tracker'!$O$2:$O$501,"Y")</f>
        <v>0</v>
      </c>
      <c r="E6" s="2">
        <f>COUNTIFS('Accident Tracker'!$D$2:$D$501,A6,'Accident Tracker'!$L$2:$L$501,"Major")</f>
        <v>0</v>
      </c>
      <c r="F6" s="2">
        <f>COUNTIFS('Accident Tracker'!$D$2:$D$501,A6,'Accident Tracker'!$L$2:$L$501,"Minor")</f>
        <v>0</v>
      </c>
      <c r="G6" s="2">
        <f>COUNTIFS('Accident Tracker'!$D$2:$D$501,A6,'Accident Tracker'!$R$2:$R$501,"Y")</f>
        <v>0</v>
      </c>
      <c r="H6" s="2">
        <f>COUNTIFS('Accident Tracker'!$D$2:$D$501,A6,'Accident Tracker'!$P$2:$P$501,"Y")</f>
        <v>0</v>
      </c>
      <c r="I6" s="2">
        <f>COUNTIFS('Accident Tracker'!$D$2:$D$501,A6,'Accident Tracker'!$Q$2:$Q$501,"Y")</f>
        <v>0</v>
      </c>
      <c r="J6" s="2">
        <f>SUMIF('Accident Tracker'!$D$2:$D$501,A6,'Accident Tracker'!$S$2:$S$501)</f>
        <v>0</v>
      </c>
      <c r="K6" s="2">
        <f>SUMIF('Accident Tracker'!$D$2:$D$501,A6,'Accident Tracker'!$T$2:$T$501)</f>
        <v>0</v>
      </c>
      <c r="L6" s="2">
        <f t="shared" si="0"/>
        <v>0</v>
      </c>
      <c r="M6" s="2">
        <f>IFERROR(B6/Dashboard!$B$6*100,0)</f>
        <v>0</v>
      </c>
      <c r="N6" s="2">
        <f t="shared" si="1"/>
        <v>0</v>
      </c>
      <c r="O6" s="3">
        <f t="shared" si="2"/>
        <v>0</v>
      </c>
    </row>
    <row r="7" spans="1:15" x14ac:dyDescent="0.3">
      <c r="A7" s="2" t="s">
        <v>61</v>
      </c>
      <c r="B7" s="2">
        <f>COUNTIF('Accident Tracker'!$D$2:$D$501,A7)</f>
        <v>0</v>
      </c>
      <c r="C7" s="2">
        <f>COUNTIFS('Accident Tracker'!$D$2:$D$501,A7,'Accident Tracker'!$N$2:$N$501,"Y")</f>
        <v>0</v>
      </c>
      <c r="D7" s="2">
        <f>COUNTIFS('Accident Tracker'!$D$2:$D$501,A7,'Accident Tracker'!$O$2:$O$501,"Y")</f>
        <v>0</v>
      </c>
      <c r="E7" s="2">
        <f>COUNTIFS('Accident Tracker'!$D$2:$D$501,A7,'Accident Tracker'!$L$2:$L$501,"Major")</f>
        <v>0</v>
      </c>
      <c r="F7" s="2">
        <f>COUNTIFS('Accident Tracker'!$D$2:$D$501,A7,'Accident Tracker'!$L$2:$L$501,"Minor")</f>
        <v>0</v>
      </c>
      <c r="G7" s="2">
        <f>COUNTIFS('Accident Tracker'!$D$2:$D$501,A7,'Accident Tracker'!$R$2:$R$501,"Y")</f>
        <v>0</v>
      </c>
      <c r="H7" s="2">
        <f>COUNTIFS('Accident Tracker'!$D$2:$D$501,A7,'Accident Tracker'!$P$2:$P$501,"Y")</f>
        <v>0</v>
      </c>
      <c r="I7" s="2">
        <f>COUNTIFS('Accident Tracker'!$D$2:$D$501,A7,'Accident Tracker'!$Q$2:$Q$501,"Y")</f>
        <v>0</v>
      </c>
      <c r="J7" s="2">
        <f>SUMIF('Accident Tracker'!$D$2:$D$501,A7,'Accident Tracker'!$S$2:$S$501)</f>
        <v>0</v>
      </c>
      <c r="K7" s="2">
        <f>SUMIF('Accident Tracker'!$D$2:$D$501,A7,'Accident Tracker'!$T$2:$T$501)</f>
        <v>0</v>
      </c>
      <c r="L7" s="2">
        <f t="shared" si="0"/>
        <v>0</v>
      </c>
      <c r="M7" s="2">
        <f>IFERROR(B7/Dashboard!$B$6*100,0)</f>
        <v>0</v>
      </c>
      <c r="N7" s="2">
        <f t="shared" si="1"/>
        <v>0</v>
      </c>
      <c r="O7" s="3">
        <f t="shared" si="2"/>
        <v>0</v>
      </c>
    </row>
    <row r="8" spans="1:15" x14ac:dyDescent="0.3">
      <c r="A8" s="2" t="s">
        <v>62</v>
      </c>
      <c r="B8" s="2">
        <f>COUNTIF('Accident Tracker'!$D$2:$D$501,A8)</f>
        <v>0</v>
      </c>
      <c r="C8" s="2">
        <f>COUNTIFS('Accident Tracker'!$D$2:$D$501,A8,'Accident Tracker'!$N$2:$N$501,"Y")</f>
        <v>0</v>
      </c>
      <c r="D8" s="2">
        <f>COUNTIFS('Accident Tracker'!$D$2:$D$501,A8,'Accident Tracker'!$O$2:$O$501,"Y")</f>
        <v>0</v>
      </c>
      <c r="E8" s="2">
        <f>COUNTIFS('Accident Tracker'!$D$2:$D$501,A8,'Accident Tracker'!$L$2:$L$501,"Major")</f>
        <v>0</v>
      </c>
      <c r="F8" s="2">
        <f>COUNTIFS('Accident Tracker'!$D$2:$D$501,A8,'Accident Tracker'!$L$2:$L$501,"Minor")</f>
        <v>0</v>
      </c>
      <c r="G8" s="2">
        <f>COUNTIFS('Accident Tracker'!$D$2:$D$501,A8,'Accident Tracker'!$R$2:$R$501,"Y")</f>
        <v>0</v>
      </c>
      <c r="H8" s="2">
        <f>COUNTIFS('Accident Tracker'!$D$2:$D$501,A8,'Accident Tracker'!$P$2:$P$501,"Y")</f>
        <v>0</v>
      </c>
      <c r="I8" s="2">
        <f>COUNTIFS('Accident Tracker'!$D$2:$D$501,A8,'Accident Tracker'!$Q$2:$Q$501,"Y")</f>
        <v>0</v>
      </c>
      <c r="J8" s="2">
        <f>SUMIF('Accident Tracker'!$D$2:$D$501,A8,'Accident Tracker'!$S$2:$S$501)</f>
        <v>0</v>
      </c>
      <c r="K8" s="2">
        <f>SUMIF('Accident Tracker'!$D$2:$D$501,A8,'Accident Tracker'!$T$2:$T$501)</f>
        <v>0</v>
      </c>
      <c r="L8" s="2">
        <f t="shared" si="0"/>
        <v>0</v>
      </c>
      <c r="M8" s="2">
        <f>IFERROR(B8/Dashboard!$B$6*100,0)</f>
        <v>0</v>
      </c>
      <c r="N8" s="2">
        <f t="shared" si="1"/>
        <v>0</v>
      </c>
      <c r="O8" s="3">
        <f t="shared" si="2"/>
        <v>0</v>
      </c>
    </row>
    <row r="9" spans="1:15" x14ac:dyDescent="0.3">
      <c r="A9" s="2" t="s">
        <v>63</v>
      </c>
      <c r="B9" s="2">
        <f>COUNTIF('Accident Tracker'!$D$2:$D$501,A9)</f>
        <v>0</v>
      </c>
      <c r="C9" s="2">
        <f>COUNTIFS('Accident Tracker'!$D$2:$D$501,A9,'Accident Tracker'!$N$2:$N$501,"Y")</f>
        <v>0</v>
      </c>
      <c r="D9" s="2">
        <f>COUNTIFS('Accident Tracker'!$D$2:$D$501,A9,'Accident Tracker'!$O$2:$O$501,"Y")</f>
        <v>0</v>
      </c>
      <c r="E9" s="2">
        <f>COUNTIFS('Accident Tracker'!$D$2:$D$501,A9,'Accident Tracker'!$L$2:$L$501,"Major")</f>
        <v>0</v>
      </c>
      <c r="F9" s="2">
        <f>COUNTIFS('Accident Tracker'!$D$2:$D$501,A9,'Accident Tracker'!$L$2:$L$501,"Minor")</f>
        <v>0</v>
      </c>
      <c r="G9" s="2">
        <f>COUNTIFS('Accident Tracker'!$D$2:$D$501,A9,'Accident Tracker'!$R$2:$R$501,"Y")</f>
        <v>0</v>
      </c>
      <c r="H9" s="2">
        <f>COUNTIFS('Accident Tracker'!$D$2:$D$501,A9,'Accident Tracker'!$P$2:$P$501,"Y")</f>
        <v>0</v>
      </c>
      <c r="I9" s="2">
        <f>COUNTIFS('Accident Tracker'!$D$2:$D$501,A9,'Accident Tracker'!$Q$2:$Q$501,"Y")</f>
        <v>0</v>
      </c>
      <c r="J9" s="2">
        <f>SUMIF('Accident Tracker'!$D$2:$D$501,A9,'Accident Tracker'!$S$2:$S$501)</f>
        <v>0</v>
      </c>
      <c r="K9" s="2">
        <f>SUMIF('Accident Tracker'!$D$2:$D$501,A9,'Accident Tracker'!$T$2:$T$501)</f>
        <v>0</v>
      </c>
      <c r="L9" s="2">
        <f t="shared" si="0"/>
        <v>0</v>
      </c>
      <c r="M9" s="2">
        <f>IFERROR(B9/Dashboard!$B$6*100,0)</f>
        <v>0</v>
      </c>
      <c r="N9" s="2">
        <f t="shared" si="1"/>
        <v>0</v>
      </c>
      <c r="O9" s="3">
        <f t="shared" si="2"/>
        <v>0</v>
      </c>
    </row>
    <row r="10" spans="1:15" x14ac:dyDescent="0.3">
      <c r="A10" s="2" t="s">
        <v>64</v>
      </c>
      <c r="B10" s="2">
        <f>COUNTIF('Accident Tracker'!$D$2:$D$501,A10)</f>
        <v>0</v>
      </c>
      <c r="C10" s="2">
        <f>COUNTIFS('Accident Tracker'!$D$2:$D$501,A10,'Accident Tracker'!$N$2:$N$501,"Y")</f>
        <v>0</v>
      </c>
      <c r="D10" s="2">
        <f>COUNTIFS('Accident Tracker'!$D$2:$D$501,A10,'Accident Tracker'!$O$2:$O$501,"Y")</f>
        <v>0</v>
      </c>
      <c r="E10" s="2">
        <f>COUNTIFS('Accident Tracker'!$D$2:$D$501,A10,'Accident Tracker'!$L$2:$L$501,"Major")</f>
        <v>0</v>
      </c>
      <c r="F10" s="2">
        <f>COUNTIFS('Accident Tracker'!$D$2:$D$501,A10,'Accident Tracker'!$L$2:$L$501,"Minor")</f>
        <v>0</v>
      </c>
      <c r="G10" s="2">
        <f>COUNTIFS('Accident Tracker'!$D$2:$D$501,A10,'Accident Tracker'!$R$2:$R$501,"Y")</f>
        <v>0</v>
      </c>
      <c r="H10" s="2">
        <f>COUNTIFS('Accident Tracker'!$D$2:$D$501,A10,'Accident Tracker'!$P$2:$P$501,"Y")</f>
        <v>0</v>
      </c>
      <c r="I10" s="2">
        <f>COUNTIFS('Accident Tracker'!$D$2:$D$501,A10,'Accident Tracker'!$Q$2:$Q$501,"Y")</f>
        <v>0</v>
      </c>
      <c r="J10" s="2">
        <f>SUMIF('Accident Tracker'!$D$2:$D$501,A10,'Accident Tracker'!$S$2:$S$501)</f>
        <v>0</v>
      </c>
      <c r="K10" s="2">
        <f>SUMIF('Accident Tracker'!$D$2:$D$501,A10,'Accident Tracker'!$T$2:$T$501)</f>
        <v>0</v>
      </c>
      <c r="L10" s="2">
        <f t="shared" si="0"/>
        <v>0</v>
      </c>
      <c r="M10" s="2">
        <f>IFERROR(B10/Dashboard!$B$6*100,0)</f>
        <v>0</v>
      </c>
      <c r="N10" s="2">
        <f t="shared" si="1"/>
        <v>0</v>
      </c>
      <c r="O10" s="3">
        <f t="shared" si="2"/>
        <v>0</v>
      </c>
    </row>
    <row r="11" spans="1:15" x14ac:dyDescent="0.3">
      <c r="A11" s="2" t="s">
        <v>65</v>
      </c>
      <c r="B11" s="2">
        <f>COUNTIF('Accident Tracker'!$D$2:$D$501,A11)</f>
        <v>0</v>
      </c>
      <c r="C11" s="2">
        <f>COUNTIFS('Accident Tracker'!$D$2:$D$501,A11,'Accident Tracker'!$N$2:$N$501,"Y")</f>
        <v>0</v>
      </c>
      <c r="D11" s="2">
        <f>COUNTIFS('Accident Tracker'!$D$2:$D$501,A11,'Accident Tracker'!$O$2:$O$501,"Y")</f>
        <v>0</v>
      </c>
      <c r="E11" s="2">
        <f>COUNTIFS('Accident Tracker'!$D$2:$D$501,A11,'Accident Tracker'!$L$2:$L$501,"Major")</f>
        <v>0</v>
      </c>
      <c r="F11" s="2">
        <f>COUNTIFS('Accident Tracker'!$D$2:$D$501,A11,'Accident Tracker'!$L$2:$L$501,"Minor")</f>
        <v>0</v>
      </c>
      <c r="G11" s="2">
        <f>COUNTIFS('Accident Tracker'!$D$2:$D$501,A11,'Accident Tracker'!$R$2:$R$501,"Y")</f>
        <v>0</v>
      </c>
      <c r="H11" s="2">
        <f>COUNTIFS('Accident Tracker'!$D$2:$D$501,A11,'Accident Tracker'!$P$2:$P$501,"Y")</f>
        <v>0</v>
      </c>
      <c r="I11" s="2">
        <f>COUNTIFS('Accident Tracker'!$D$2:$D$501,A11,'Accident Tracker'!$Q$2:$Q$501,"Y")</f>
        <v>0</v>
      </c>
      <c r="J11" s="2">
        <f>SUMIF('Accident Tracker'!$D$2:$D$501,A11,'Accident Tracker'!$S$2:$S$501)</f>
        <v>0</v>
      </c>
      <c r="K11" s="2">
        <f>SUMIF('Accident Tracker'!$D$2:$D$501,A11,'Accident Tracker'!$T$2:$T$501)</f>
        <v>0</v>
      </c>
      <c r="L11" s="2">
        <f t="shared" si="0"/>
        <v>0</v>
      </c>
      <c r="M11" s="2">
        <f>IFERROR(B11/Dashboard!$B$6*100,0)</f>
        <v>0</v>
      </c>
      <c r="N11" s="2">
        <f t="shared" si="1"/>
        <v>0</v>
      </c>
      <c r="O11" s="3">
        <f t="shared" si="2"/>
        <v>0</v>
      </c>
    </row>
    <row r="12" spans="1:15" x14ac:dyDescent="0.3">
      <c r="A12" s="2" t="s">
        <v>66</v>
      </c>
      <c r="B12" s="2">
        <f>COUNTIF('Accident Tracker'!$D$2:$D$501,A12)</f>
        <v>0</v>
      </c>
      <c r="C12" s="2">
        <f>COUNTIFS('Accident Tracker'!$D$2:$D$501,A12,'Accident Tracker'!$N$2:$N$501,"Y")</f>
        <v>0</v>
      </c>
      <c r="D12" s="2">
        <f>COUNTIFS('Accident Tracker'!$D$2:$D$501,A12,'Accident Tracker'!$O$2:$O$501,"Y")</f>
        <v>0</v>
      </c>
      <c r="E12" s="2">
        <f>COUNTIFS('Accident Tracker'!$D$2:$D$501,A12,'Accident Tracker'!$L$2:$L$501,"Major")</f>
        <v>0</v>
      </c>
      <c r="F12" s="2">
        <f>COUNTIFS('Accident Tracker'!$D$2:$D$501,A12,'Accident Tracker'!$L$2:$L$501,"Minor")</f>
        <v>0</v>
      </c>
      <c r="G12" s="2">
        <f>COUNTIFS('Accident Tracker'!$D$2:$D$501,A12,'Accident Tracker'!$R$2:$R$501,"Y")</f>
        <v>0</v>
      </c>
      <c r="H12" s="2">
        <f>COUNTIFS('Accident Tracker'!$D$2:$D$501,A12,'Accident Tracker'!$P$2:$P$501,"Y")</f>
        <v>0</v>
      </c>
      <c r="I12" s="2">
        <f>COUNTIFS('Accident Tracker'!$D$2:$D$501,A12,'Accident Tracker'!$Q$2:$Q$501,"Y")</f>
        <v>0</v>
      </c>
      <c r="J12" s="2">
        <f>SUMIF('Accident Tracker'!$D$2:$D$501,A12,'Accident Tracker'!$S$2:$S$501)</f>
        <v>0</v>
      </c>
      <c r="K12" s="2">
        <f>SUMIF('Accident Tracker'!$D$2:$D$501,A12,'Accident Tracker'!$T$2:$T$501)</f>
        <v>0</v>
      </c>
      <c r="L12" s="2">
        <f t="shared" si="0"/>
        <v>0</v>
      </c>
      <c r="M12" s="2">
        <f>IFERROR(B12/Dashboard!$B$6*100,0)</f>
        <v>0</v>
      </c>
      <c r="N12" s="2">
        <f t="shared" si="1"/>
        <v>0</v>
      </c>
      <c r="O12" s="3">
        <f t="shared" si="2"/>
        <v>0</v>
      </c>
    </row>
    <row r="13" spans="1:15" x14ac:dyDescent="0.3">
      <c r="A13" s="2" t="s">
        <v>67</v>
      </c>
      <c r="B13" s="2">
        <f>COUNTIF('Accident Tracker'!$D$2:$D$501,A13)</f>
        <v>0</v>
      </c>
      <c r="C13" s="2">
        <f>COUNTIFS('Accident Tracker'!$D$2:$D$501,A13,'Accident Tracker'!$N$2:$N$501,"Y")</f>
        <v>0</v>
      </c>
      <c r="D13" s="2">
        <f>COUNTIFS('Accident Tracker'!$D$2:$D$501,A13,'Accident Tracker'!$O$2:$O$501,"Y")</f>
        <v>0</v>
      </c>
      <c r="E13" s="2">
        <f>COUNTIFS('Accident Tracker'!$D$2:$D$501,A13,'Accident Tracker'!$L$2:$L$501,"Major")</f>
        <v>0</v>
      </c>
      <c r="F13" s="2">
        <f>COUNTIFS('Accident Tracker'!$D$2:$D$501,A13,'Accident Tracker'!$L$2:$L$501,"Minor")</f>
        <v>0</v>
      </c>
      <c r="G13" s="2">
        <f>COUNTIFS('Accident Tracker'!$D$2:$D$501,A13,'Accident Tracker'!$R$2:$R$501,"Y")</f>
        <v>0</v>
      </c>
      <c r="H13" s="2">
        <f>COUNTIFS('Accident Tracker'!$D$2:$D$501,A13,'Accident Tracker'!$P$2:$P$501,"Y")</f>
        <v>0</v>
      </c>
      <c r="I13" s="2">
        <f>COUNTIFS('Accident Tracker'!$D$2:$D$501,A13,'Accident Tracker'!$Q$2:$Q$501,"Y")</f>
        <v>0</v>
      </c>
      <c r="J13" s="2">
        <f>SUMIF('Accident Tracker'!$D$2:$D$501,A13,'Accident Tracker'!$S$2:$S$501)</f>
        <v>0</v>
      </c>
      <c r="K13" s="2">
        <f>SUMIF('Accident Tracker'!$D$2:$D$501,A13,'Accident Tracker'!$T$2:$T$501)</f>
        <v>0</v>
      </c>
      <c r="L13" s="2">
        <f t="shared" si="0"/>
        <v>0</v>
      </c>
      <c r="M13" s="2">
        <f>IFERROR(B13/Dashboard!$B$6*100,0)</f>
        <v>0</v>
      </c>
      <c r="N13" s="2">
        <f t="shared" si="1"/>
        <v>0</v>
      </c>
      <c r="O13" s="3">
        <f t="shared" si="2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showGridLines="0" workbookViewId="0">
      <selection activeCell="B9" sqref="B9"/>
    </sheetView>
  </sheetViews>
  <sheetFormatPr defaultRowHeight="14.4" x14ac:dyDescent="0.3"/>
  <cols>
    <col min="1" max="1" width="12" customWidth="1"/>
    <col min="2" max="2" width="110" customWidth="1"/>
  </cols>
  <sheetData>
    <row r="1" spans="1:2" ht="21" x14ac:dyDescent="0.4">
      <c r="A1" s="8" t="s">
        <v>68</v>
      </c>
    </row>
    <row r="2" spans="1:2" x14ac:dyDescent="0.3">
      <c r="A2" t="s">
        <v>69</v>
      </c>
      <c r="B2" s="9" t="s">
        <v>70</v>
      </c>
    </row>
    <row r="3" spans="1:2" x14ac:dyDescent="0.3">
      <c r="A3" t="s">
        <v>71</v>
      </c>
      <c r="B3" s="9" t="s">
        <v>72</v>
      </c>
    </row>
    <row r="4" spans="1:2" x14ac:dyDescent="0.3">
      <c r="A4" t="s">
        <v>73</v>
      </c>
      <c r="B4" s="9" t="s">
        <v>74</v>
      </c>
    </row>
    <row r="5" spans="1:2" x14ac:dyDescent="0.3">
      <c r="A5" t="s">
        <v>75</v>
      </c>
      <c r="B5" s="9" t="s">
        <v>76</v>
      </c>
    </row>
    <row r="6" spans="1:2" x14ac:dyDescent="0.3">
      <c r="A6" t="s">
        <v>77</v>
      </c>
      <c r="B6" s="9" t="s">
        <v>78</v>
      </c>
    </row>
    <row r="7" spans="1:2" x14ac:dyDescent="0.3">
      <c r="A7" t="s">
        <v>79</v>
      </c>
      <c r="B7" s="9" t="s">
        <v>80</v>
      </c>
    </row>
    <row r="8" spans="1:2" x14ac:dyDescent="0.3">
      <c r="A8" t="s">
        <v>81</v>
      </c>
      <c r="B8" s="9" t="s">
        <v>82</v>
      </c>
    </row>
    <row r="9" spans="1:2" x14ac:dyDescent="0.3">
      <c r="A9" t="s">
        <v>83</v>
      </c>
      <c r="B9" s="9" t="s">
        <v>84</v>
      </c>
    </row>
    <row r="10" spans="1:2" x14ac:dyDescent="0.3">
      <c r="A10" t="s">
        <v>85</v>
      </c>
      <c r="B10" s="9" t="s">
        <v>86</v>
      </c>
    </row>
    <row r="11" spans="1:2" x14ac:dyDescent="0.3">
      <c r="A11" t="s">
        <v>87</v>
      </c>
      <c r="B11" s="9" t="s">
        <v>88</v>
      </c>
    </row>
    <row r="12" spans="1:2" x14ac:dyDescent="0.3">
      <c r="A12" t="s">
        <v>89</v>
      </c>
      <c r="B12" s="9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Accident Tracker</vt:lpstr>
      <vt:lpstr>Monthly KPI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Vinod Hr</cp:lastModifiedBy>
  <dcterms:created xsi:type="dcterms:W3CDTF">2026-09-18T10:43:45Z</dcterms:created>
  <dcterms:modified xsi:type="dcterms:W3CDTF">2026-09-19T05:33:05Z</dcterms:modified>
</cp:coreProperties>
</file>